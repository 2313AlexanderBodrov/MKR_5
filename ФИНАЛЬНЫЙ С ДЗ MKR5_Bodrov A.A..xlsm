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odro\Desktop\"/>
    </mc:Choice>
  </mc:AlternateContent>
  <xr:revisionPtr revIDLastSave="0" documentId="13_ncr:1_{071F7544-E192-434E-AA2F-AE25909D200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onst_p_135" sheetId="1" r:id="rId1"/>
    <sheet name="var_p_135" sheetId="2" r:id="rId2"/>
    <sheet name="const_p_105" sheetId="3" r:id="rId3"/>
    <sheet name="var_p_105" sheetId="4" r:id="rId4"/>
    <sheet name="M=1,5(const)" sheetId="5" r:id="rId5"/>
    <sheet name="M=1,5(var)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6" l="1"/>
  <c r="Q13" i="6"/>
  <c r="Q17" i="6" s="1"/>
  <c r="P13" i="6"/>
  <c r="P17" i="6" s="1"/>
  <c r="P18" i="6" s="1"/>
  <c r="P19" i="6" s="1"/>
  <c r="P21" i="6" s="1"/>
  <c r="O13" i="6"/>
  <c r="O17" i="6" s="1"/>
  <c r="O18" i="6" s="1"/>
  <c r="O19" i="6" s="1"/>
  <c r="O21" i="6" s="1"/>
  <c r="N13" i="6"/>
  <c r="M13" i="6"/>
  <c r="M17" i="6" s="1"/>
  <c r="M18" i="6" s="1"/>
  <c r="L13" i="6"/>
  <c r="K13" i="6"/>
  <c r="K17" i="6" s="1"/>
  <c r="K18" i="6" s="1"/>
  <c r="K19" i="6" s="1"/>
  <c r="K21" i="6" s="1"/>
  <c r="J13" i="6"/>
  <c r="J17" i="6" s="1"/>
  <c r="J18" i="6" s="1"/>
  <c r="I13" i="6"/>
  <c r="I17" i="6" s="1"/>
  <c r="I18" i="6" s="1"/>
  <c r="H13" i="6"/>
  <c r="H17" i="6" s="1"/>
  <c r="H18" i="6" s="1"/>
  <c r="H19" i="6" s="1"/>
  <c r="H21" i="6" s="1"/>
  <c r="Q4" i="6"/>
  <c r="G4" i="6"/>
  <c r="C4" i="6"/>
  <c r="H2" i="6" s="1"/>
  <c r="I2" i="6" s="1"/>
  <c r="J2" i="6" s="1"/>
  <c r="K2" i="6" s="1"/>
  <c r="L2" i="6" s="1"/>
  <c r="M2" i="6" s="1"/>
  <c r="N2" i="6" s="1"/>
  <c r="O2" i="6" s="1"/>
  <c r="P2" i="6" s="1"/>
  <c r="Q2" i="6" s="1"/>
  <c r="H3" i="6"/>
  <c r="H4" i="6" s="1"/>
  <c r="Q15" i="5"/>
  <c r="P15" i="5"/>
  <c r="O15" i="5"/>
  <c r="N15" i="5"/>
  <c r="M15" i="5"/>
  <c r="L15" i="5"/>
  <c r="K15" i="5"/>
  <c r="J15" i="5"/>
  <c r="I15" i="5"/>
  <c r="H15" i="5"/>
  <c r="G15" i="5"/>
  <c r="Q14" i="5"/>
  <c r="Q13" i="5"/>
  <c r="P13" i="5"/>
  <c r="P17" i="5" s="1"/>
  <c r="P18" i="5" s="1"/>
  <c r="P19" i="5" s="1"/>
  <c r="O13" i="5"/>
  <c r="O17" i="5" s="1"/>
  <c r="O18" i="5" s="1"/>
  <c r="O19" i="5" s="1"/>
  <c r="N13" i="5"/>
  <c r="N17" i="5" s="1"/>
  <c r="N18" i="5" s="1"/>
  <c r="M13" i="5"/>
  <c r="M17" i="5" s="1"/>
  <c r="M18" i="5" s="1"/>
  <c r="L13" i="5"/>
  <c r="L17" i="5" s="1"/>
  <c r="L18" i="5" s="1"/>
  <c r="L19" i="5" s="1"/>
  <c r="K13" i="5"/>
  <c r="K17" i="5" s="1"/>
  <c r="K18" i="5" s="1"/>
  <c r="J13" i="5"/>
  <c r="I13" i="5"/>
  <c r="H13" i="5"/>
  <c r="H17" i="5" s="1"/>
  <c r="H18" i="5" s="1"/>
  <c r="H19" i="5" s="1"/>
  <c r="Q4" i="5"/>
  <c r="G4" i="5"/>
  <c r="C4" i="5"/>
  <c r="H2" i="5" s="1"/>
  <c r="I2" i="5" s="1"/>
  <c r="J2" i="5" s="1"/>
  <c r="K2" i="5" s="1"/>
  <c r="L2" i="5" s="1"/>
  <c r="M2" i="5" s="1"/>
  <c r="N2" i="5" s="1"/>
  <c r="O2" i="5" s="1"/>
  <c r="P2" i="5" s="1"/>
  <c r="Q2" i="5" s="1"/>
  <c r="H3" i="5"/>
  <c r="I3" i="5" s="1"/>
  <c r="H15" i="2"/>
  <c r="I15" i="2"/>
  <c r="J15" i="2"/>
  <c r="K15" i="2"/>
  <c r="L15" i="2"/>
  <c r="M15" i="2"/>
  <c r="N15" i="2"/>
  <c r="O15" i="2"/>
  <c r="P15" i="2"/>
  <c r="Q15" i="2"/>
  <c r="G14" i="2"/>
  <c r="Q14" i="4"/>
  <c r="Q13" i="4"/>
  <c r="Q17" i="4" s="1"/>
  <c r="P13" i="4"/>
  <c r="P17" i="4" s="1"/>
  <c r="P18" i="4" s="1"/>
  <c r="P19" i="4" s="1"/>
  <c r="P21" i="4" s="1"/>
  <c r="O13" i="4"/>
  <c r="O17" i="4" s="1"/>
  <c r="O18" i="4" s="1"/>
  <c r="O19" i="4" s="1"/>
  <c r="O21" i="4" s="1"/>
  <c r="N13" i="4"/>
  <c r="M13" i="4"/>
  <c r="M17" i="4" s="1"/>
  <c r="M18" i="4" s="1"/>
  <c r="L13" i="4"/>
  <c r="L17" i="4" s="1"/>
  <c r="L18" i="4" s="1"/>
  <c r="K13" i="4"/>
  <c r="K17" i="4" s="1"/>
  <c r="K18" i="4" s="1"/>
  <c r="J13" i="4"/>
  <c r="J17" i="4" s="1"/>
  <c r="J18" i="4" s="1"/>
  <c r="I13" i="4"/>
  <c r="I17" i="4" s="1"/>
  <c r="I18" i="4" s="1"/>
  <c r="H13" i="4"/>
  <c r="H17" i="4" s="1"/>
  <c r="H18" i="4" s="1"/>
  <c r="H19" i="4" s="1"/>
  <c r="H21" i="4" s="1"/>
  <c r="Q4" i="4"/>
  <c r="Q10" i="4" s="1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I3" i="4" s="1"/>
  <c r="Q14" i="3"/>
  <c r="Q13" i="3"/>
  <c r="Q17" i="3" s="1"/>
  <c r="Q18" i="3" s="1"/>
  <c r="P13" i="3"/>
  <c r="P17" i="3" s="1"/>
  <c r="P18" i="3" s="1"/>
  <c r="O13" i="3"/>
  <c r="O17" i="3" s="1"/>
  <c r="O18" i="3" s="1"/>
  <c r="N13" i="3"/>
  <c r="N17" i="3" s="1"/>
  <c r="N18" i="3" s="1"/>
  <c r="M13" i="3"/>
  <c r="M17" i="3" s="1"/>
  <c r="M18" i="3" s="1"/>
  <c r="L13" i="3"/>
  <c r="L17" i="3" s="1"/>
  <c r="L18" i="3" s="1"/>
  <c r="L19" i="3" s="1"/>
  <c r="K13" i="3"/>
  <c r="K17" i="3" s="1"/>
  <c r="K18" i="3" s="1"/>
  <c r="K19" i="3" s="1"/>
  <c r="J13" i="3"/>
  <c r="J17" i="3" s="1"/>
  <c r="J18" i="3" s="1"/>
  <c r="J19" i="3" s="1"/>
  <c r="I13" i="3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H4" i="3" s="1"/>
  <c r="H18" i="2"/>
  <c r="P17" i="2"/>
  <c r="P18" i="2" s="1"/>
  <c r="M17" i="2"/>
  <c r="M18" i="2" s="1"/>
  <c r="M19" i="2" s="1"/>
  <c r="M21" i="2" s="1"/>
  <c r="K17" i="2"/>
  <c r="K18" i="2" s="1"/>
  <c r="H17" i="2"/>
  <c r="Q14" i="2"/>
  <c r="Q13" i="2"/>
  <c r="Q17" i="2" s="1"/>
  <c r="Q18" i="2" s="1"/>
  <c r="P13" i="2"/>
  <c r="P19" i="2" s="1"/>
  <c r="P21" i="2" s="1"/>
  <c r="O13" i="2"/>
  <c r="O17" i="2" s="1"/>
  <c r="O18" i="2" s="1"/>
  <c r="O19" i="2" s="1"/>
  <c r="O21" i="2" s="1"/>
  <c r="N13" i="2"/>
  <c r="N17" i="2" s="1"/>
  <c r="N18" i="2" s="1"/>
  <c r="M13" i="2"/>
  <c r="L13" i="2"/>
  <c r="K13" i="2"/>
  <c r="J13" i="2"/>
  <c r="J17" i="2" s="1"/>
  <c r="J18" i="2" s="1"/>
  <c r="J19" i="2" s="1"/>
  <c r="J21" i="2" s="1"/>
  <c r="I13" i="2"/>
  <c r="I17" i="2" s="1"/>
  <c r="I18" i="2" s="1"/>
  <c r="H13" i="2"/>
  <c r="H19" i="2" s="1"/>
  <c r="H21" i="2" s="1"/>
  <c r="Q4" i="2"/>
  <c r="Q10" i="2" s="1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0" i="5" l="1"/>
  <c r="Q10" i="6"/>
  <c r="Q15" i="6"/>
  <c r="H20" i="6"/>
  <c r="H22" i="6"/>
  <c r="O20" i="6"/>
  <c r="O22" i="6"/>
  <c r="P20" i="6"/>
  <c r="P22" i="6"/>
  <c r="I19" i="6"/>
  <c r="I21" i="6" s="1"/>
  <c r="K22" i="6"/>
  <c r="K20" i="6"/>
  <c r="H10" i="6"/>
  <c r="G13" i="6"/>
  <c r="M19" i="6"/>
  <c r="M21" i="6" s="1"/>
  <c r="L17" i="6"/>
  <c r="L18" i="6" s="1"/>
  <c r="L19" i="6" s="1"/>
  <c r="L21" i="6" s="1"/>
  <c r="Q18" i="6"/>
  <c r="Q19" i="6" s="1"/>
  <c r="Q21" i="6" s="1"/>
  <c r="I3" i="6"/>
  <c r="N17" i="6"/>
  <c r="N18" i="6" s="1"/>
  <c r="N19" i="6" s="1"/>
  <c r="N21" i="6" s="1"/>
  <c r="J19" i="6"/>
  <c r="J21" i="6" s="1"/>
  <c r="M19" i="5"/>
  <c r="J3" i="5"/>
  <c r="I4" i="5"/>
  <c r="I10" i="5" s="1"/>
  <c r="H4" i="5"/>
  <c r="K19" i="5"/>
  <c r="I17" i="5"/>
  <c r="I18" i="5" s="1"/>
  <c r="I19" i="5" s="1"/>
  <c r="Q17" i="5"/>
  <c r="Q18" i="5" s="1"/>
  <c r="Q19" i="5" s="1"/>
  <c r="J17" i="5"/>
  <c r="J18" i="5" s="1"/>
  <c r="J19" i="5" s="1"/>
  <c r="N19" i="5"/>
  <c r="L19" i="4"/>
  <c r="L21" i="4" s="1"/>
  <c r="L22" i="4" s="1"/>
  <c r="Q10" i="3"/>
  <c r="Q19" i="3"/>
  <c r="I17" i="3"/>
  <c r="I18" i="3" s="1"/>
  <c r="I19" i="3" s="1"/>
  <c r="M19" i="4"/>
  <c r="M21" i="4" s="1"/>
  <c r="O20" i="4"/>
  <c r="O22" i="4"/>
  <c r="Q15" i="4"/>
  <c r="Q18" i="4"/>
  <c r="Q19" i="4" s="1"/>
  <c r="Q21" i="4" s="1"/>
  <c r="P20" i="4"/>
  <c r="P22" i="4"/>
  <c r="I4" i="4"/>
  <c r="I10" i="4" s="1"/>
  <c r="J3" i="4"/>
  <c r="H20" i="4"/>
  <c r="H22" i="4"/>
  <c r="N17" i="4"/>
  <c r="N18" i="4" s="1"/>
  <c r="N19" i="4" s="1"/>
  <c r="N21" i="4" s="1"/>
  <c r="I19" i="4"/>
  <c r="I21" i="4" s="1"/>
  <c r="H4" i="4"/>
  <c r="J19" i="4"/>
  <c r="J21" i="4" s="1"/>
  <c r="K19" i="4"/>
  <c r="K21" i="4" s="1"/>
  <c r="H10" i="3"/>
  <c r="G13" i="3"/>
  <c r="H19" i="3"/>
  <c r="P19" i="3"/>
  <c r="I3" i="3"/>
  <c r="M19" i="3"/>
  <c r="N19" i="3"/>
  <c r="O19" i="3"/>
  <c r="J22" i="2"/>
  <c r="J20" i="2"/>
  <c r="P20" i="2"/>
  <c r="P22" i="2"/>
  <c r="K19" i="2"/>
  <c r="K21" i="2" s="1"/>
  <c r="G13" i="2"/>
  <c r="G10" i="2" s="1"/>
  <c r="H10" i="2"/>
  <c r="M20" i="2"/>
  <c r="M22" i="2"/>
  <c r="H20" i="2"/>
  <c r="H22" i="2"/>
  <c r="O20" i="2"/>
  <c r="O22" i="2"/>
  <c r="L17" i="2"/>
  <c r="L18" i="2" s="1"/>
  <c r="L19" i="2" s="1"/>
  <c r="L21" i="2" s="1"/>
  <c r="N19" i="2"/>
  <c r="N21" i="2" s="1"/>
  <c r="I3" i="2"/>
  <c r="I19" i="2"/>
  <c r="I21" i="2" s="1"/>
  <c r="Q19" i="2"/>
  <c r="Q21" i="2" s="1"/>
  <c r="N20" i="6" l="1"/>
  <c r="N22" i="6"/>
  <c r="J20" i="6"/>
  <c r="J22" i="6"/>
  <c r="I20" i="6"/>
  <c r="I22" i="6"/>
  <c r="I4" i="6"/>
  <c r="I10" i="6" s="1"/>
  <c r="J3" i="6"/>
  <c r="G17" i="6"/>
  <c r="G18" i="6" s="1"/>
  <c r="G19" i="6" s="1"/>
  <c r="G21" i="6" s="1"/>
  <c r="G14" i="6"/>
  <c r="Q20" i="6"/>
  <c r="Q22" i="6"/>
  <c r="Q23" i="6" s="1"/>
  <c r="L22" i="6"/>
  <c r="L20" i="6"/>
  <c r="M20" i="6"/>
  <c r="M22" i="6"/>
  <c r="G10" i="6"/>
  <c r="G13" i="5"/>
  <c r="H10" i="5"/>
  <c r="H11" i="5" s="1"/>
  <c r="H14" i="5" s="1"/>
  <c r="J4" i="5"/>
  <c r="J10" i="5" s="1"/>
  <c r="K3" i="5"/>
  <c r="L20" i="4"/>
  <c r="Q20" i="4"/>
  <c r="Q22" i="4"/>
  <c r="Q23" i="4" s="1"/>
  <c r="N20" i="4"/>
  <c r="N22" i="4"/>
  <c r="J20" i="4"/>
  <c r="J22" i="4"/>
  <c r="M20" i="4"/>
  <c r="M22" i="4"/>
  <c r="H10" i="4"/>
  <c r="H11" i="4" s="1"/>
  <c r="H14" i="4" s="1"/>
  <c r="G13" i="4"/>
  <c r="J4" i="4"/>
  <c r="J10" i="4" s="1"/>
  <c r="I11" i="4" s="1"/>
  <c r="I14" i="4" s="1"/>
  <c r="K3" i="4"/>
  <c r="K22" i="4"/>
  <c r="K20" i="4"/>
  <c r="I20" i="4"/>
  <c r="I22" i="4"/>
  <c r="I4" i="3"/>
  <c r="I10" i="3" s="1"/>
  <c r="H11" i="3" s="1"/>
  <c r="H14" i="3" s="1"/>
  <c r="J3" i="3"/>
  <c r="G17" i="3"/>
  <c r="G18" i="3" s="1"/>
  <c r="G19" i="3" s="1"/>
  <c r="G14" i="3"/>
  <c r="G10" i="3"/>
  <c r="L20" i="2"/>
  <c r="L22" i="2"/>
  <c r="I20" i="2"/>
  <c r="I22" i="2"/>
  <c r="K22" i="2"/>
  <c r="K20" i="2"/>
  <c r="N20" i="2"/>
  <c r="N22" i="2"/>
  <c r="Q20" i="2"/>
  <c r="Q22" i="2"/>
  <c r="Q23" i="2" s="1"/>
  <c r="G17" i="2"/>
  <c r="G18" i="2" s="1"/>
  <c r="G19" i="2"/>
  <c r="G21" i="2" s="1"/>
  <c r="I4" i="2"/>
  <c r="I10" i="2" s="1"/>
  <c r="J3" i="2"/>
  <c r="G20" i="6" l="1"/>
  <c r="G22" i="6"/>
  <c r="G23" i="6" s="1"/>
  <c r="G15" i="6"/>
  <c r="J4" i="6"/>
  <c r="J10" i="6" s="1"/>
  <c r="K3" i="6"/>
  <c r="H11" i="6"/>
  <c r="H14" i="6" s="1"/>
  <c r="I11" i="5"/>
  <c r="I14" i="5" s="1"/>
  <c r="K4" i="5"/>
  <c r="K10" i="5" s="1"/>
  <c r="L3" i="5"/>
  <c r="G17" i="5"/>
  <c r="G18" i="5" s="1"/>
  <c r="G19" i="5" s="1"/>
  <c r="G10" i="5"/>
  <c r="G14" i="5"/>
  <c r="K4" i="4"/>
  <c r="K10" i="4" s="1"/>
  <c r="L3" i="4"/>
  <c r="G14" i="4"/>
  <c r="G17" i="4"/>
  <c r="G18" i="4" s="1"/>
  <c r="G19" i="4" s="1"/>
  <c r="G21" i="4" s="1"/>
  <c r="G10" i="4"/>
  <c r="I23" i="4"/>
  <c r="I15" i="4"/>
  <c r="H23" i="4"/>
  <c r="H15" i="4"/>
  <c r="J4" i="3"/>
  <c r="J10" i="3" s="1"/>
  <c r="I11" i="3" s="1"/>
  <c r="I14" i="3" s="1"/>
  <c r="K3" i="3"/>
  <c r="G20" i="2"/>
  <c r="G22" i="2"/>
  <c r="J4" i="2"/>
  <c r="J10" i="2" s="1"/>
  <c r="I11" i="2" s="1"/>
  <c r="I14" i="2" s="1"/>
  <c r="K3" i="2"/>
  <c r="H11" i="2"/>
  <c r="H14" i="2" s="1"/>
  <c r="K4" i="6" l="1"/>
  <c r="K10" i="6" s="1"/>
  <c r="J11" i="6" s="1"/>
  <c r="J14" i="6" s="1"/>
  <c r="L3" i="6"/>
  <c r="I11" i="6"/>
  <c r="I14" i="6" s="1"/>
  <c r="H23" i="6"/>
  <c r="H15" i="6"/>
  <c r="L4" i="5"/>
  <c r="L10" i="5" s="1"/>
  <c r="M3" i="5"/>
  <c r="J11" i="5"/>
  <c r="J14" i="5" s="1"/>
  <c r="G22" i="4"/>
  <c r="G23" i="4" s="1"/>
  <c r="G20" i="4"/>
  <c r="G15" i="4"/>
  <c r="M3" i="4"/>
  <c r="L4" i="4"/>
  <c r="L10" i="4" s="1"/>
  <c r="J11" i="4"/>
  <c r="J14" i="4" s="1"/>
  <c r="K4" i="3"/>
  <c r="K10" i="3" s="1"/>
  <c r="J11" i="3" s="1"/>
  <c r="J14" i="3" s="1"/>
  <c r="L3" i="3"/>
  <c r="I23" i="2"/>
  <c r="H23" i="2"/>
  <c r="L3" i="2"/>
  <c r="K4" i="2"/>
  <c r="K10" i="2" s="1"/>
  <c r="J15" i="6" l="1"/>
  <c r="J23" i="6"/>
  <c r="I23" i="6"/>
  <c r="I15" i="6"/>
  <c r="M3" i="6"/>
  <c r="L4" i="6"/>
  <c r="L10" i="6" s="1"/>
  <c r="M4" i="5"/>
  <c r="M10" i="5" s="1"/>
  <c r="N3" i="5"/>
  <c r="K11" i="5"/>
  <c r="K14" i="5" s="1"/>
  <c r="J15" i="4"/>
  <c r="J23" i="4"/>
  <c r="N3" i="4"/>
  <c r="M4" i="4"/>
  <c r="M10" i="4" s="1"/>
  <c r="L11" i="4" s="1"/>
  <c r="L14" i="4" s="1"/>
  <c r="K11" i="4"/>
  <c r="K14" i="4" s="1"/>
  <c r="L4" i="3"/>
  <c r="L10" i="3" s="1"/>
  <c r="M3" i="3"/>
  <c r="J11" i="2"/>
  <c r="J14" i="2" s="1"/>
  <c r="M3" i="2"/>
  <c r="L4" i="2"/>
  <c r="L10" i="2" s="1"/>
  <c r="K11" i="6" l="1"/>
  <c r="K14" i="6" s="1"/>
  <c r="N3" i="6"/>
  <c r="M4" i="6"/>
  <c r="M10" i="6" s="1"/>
  <c r="L11" i="5"/>
  <c r="L14" i="5" s="1"/>
  <c r="N4" i="5"/>
  <c r="N10" i="5" s="1"/>
  <c r="O3" i="5"/>
  <c r="L15" i="4"/>
  <c r="L23" i="4"/>
  <c r="K23" i="4"/>
  <c r="K15" i="4"/>
  <c r="N4" i="4"/>
  <c r="N10" i="4" s="1"/>
  <c r="O3" i="4"/>
  <c r="K11" i="3"/>
  <c r="K14" i="3" s="1"/>
  <c r="M4" i="3"/>
  <c r="M10" i="3" s="1"/>
  <c r="N3" i="3"/>
  <c r="N3" i="2"/>
  <c r="M4" i="2"/>
  <c r="M10" i="2" s="1"/>
  <c r="J23" i="2"/>
  <c r="K11" i="2"/>
  <c r="K14" i="2" s="1"/>
  <c r="N4" i="6" l="1"/>
  <c r="N10" i="6" s="1"/>
  <c r="M11" i="6" s="1"/>
  <c r="M14" i="6" s="1"/>
  <c r="O3" i="6"/>
  <c r="K15" i="6"/>
  <c r="K23" i="6"/>
  <c r="L11" i="6"/>
  <c r="L14" i="6" s="1"/>
  <c r="O4" i="5"/>
  <c r="O10" i="5" s="1"/>
  <c r="P3" i="5"/>
  <c r="P4" i="5" s="1"/>
  <c r="P10" i="5" s="1"/>
  <c r="P11" i="5" s="1"/>
  <c r="P14" i="5" s="1"/>
  <c r="M11" i="5"/>
  <c r="M14" i="5" s="1"/>
  <c r="P3" i="4"/>
  <c r="P4" i="4" s="1"/>
  <c r="P10" i="4" s="1"/>
  <c r="P11" i="4" s="1"/>
  <c r="P14" i="4" s="1"/>
  <c r="O4" i="4"/>
  <c r="O10" i="4" s="1"/>
  <c r="O11" i="4" s="1"/>
  <c r="O14" i="4" s="1"/>
  <c r="M11" i="4"/>
  <c r="M14" i="4" s="1"/>
  <c r="O3" i="3"/>
  <c r="N4" i="3"/>
  <c r="N10" i="3" s="1"/>
  <c r="L11" i="3"/>
  <c r="L14" i="3" s="1"/>
  <c r="K23" i="2"/>
  <c r="N4" i="2"/>
  <c r="N10" i="2" s="1"/>
  <c r="O3" i="2"/>
  <c r="L11" i="2"/>
  <c r="L14" i="2" s="1"/>
  <c r="L23" i="6" l="1"/>
  <c r="L15" i="6"/>
  <c r="M15" i="6"/>
  <c r="M23" i="6"/>
  <c r="P3" i="6"/>
  <c r="P4" i="6" s="1"/>
  <c r="P10" i="6" s="1"/>
  <c r="P11" i="6" s="1"/>
  <c r="P14" i="6" s="1"/>
  <c r="O4" i="6"/>
  <c r="O10" i="6" s="1"/>
  <c r="O11" i="5"/>
  <c r="O14" i="5" s="1"/>
  <c r="N11" i="5"/>
  <c r="N14" i="5" s="1"/>
  <c r="M15" i="4"/>
  <c r="M23" i="4"/>
  <c r="N11" i="4"/>
  <c r="N14" i="4" s="1"/>
  <c r="O23" i="4"/>
  <c r="O15" i="4"/>
  <c r="P23" i="4"/>
  <c r="P15" i="4"/>
  <c r="P3" i="3"/>
  <c r="P4" i="3" s="1"/>
  <c r="P10" i="3" s="1"/>
  <c r="P11" i="3" s="1"/>
  <c r="P14" i="3" s="1"/>
  <c r="O4" i="3"/>
  <c r="O10" i="3" s="1"/>
  <c r="M11" i="3"/>
  <c r="M14" i="3" s="1"/>
  <c r="N11" i="2"/>
  <c r="N14" i="2" s="1"/>
  <c r="L23" i="2"/>
  <c r="M11" i="2"/>
  <c r="M14" i="2" s="1"/>
  <c r="O4" i="2"/>
  <c r="O10" i="2" s="1"/>
  <c r="P3" i="2"/>
  <c r="P4" i="2" s="1"/>
  <c r="P10" i="2" s="1"/>
  <c r="P11" i="2" s="1"/>
  <c r="P14" i="2" s="1"/>
  <c r="O11" i="6" l="1"/>
  <c r="O14" i="6" s="1"/>
  <c r="O23" i="6" s="1"/>
  <c r="N11" i="6"/>
  <c r="N14" i="6" s="1"/>
  <c r="P23" i="6"/>
  <c r="P15" i="6"/>
  <c r="O11" i="3"/>
  <c r="O14" i="3" s="1"/>
  <c r="N15" i="4"/>
  <c r="N23" i="4"/>
  <c r="N11" i="3"/>
  <c r="N14" i="3" s="1"/>
  <c r="P23" i="2"/>
  <c r="N23" i="2"/>
  <c r="M23" i="2"/>
  <c r="O11" i="2"/>
  <c r="O14" i="2" s="1"/>
  <c r="O15" i="6" l="1"/>
  <c r="N15" i="6"/>
  <c r="N23" i="6"/>
  <c r="O23" i="2"/>
  <c r="H11" i="1" l="1"/>
  <c r="H4" i="1"/>
  <c r="G13" i="1" s="1"/>
  <c r="G14" i="1" s="1"/>
  <c r="I4" i="1"/>
  <c r="J4" i="1"/>
  <c r="K4" i="1"/>
  <c r="L4" i="1"/>
  <c r="M4" i="1"/>
  <c r="N4" i="1"/>
  <c r="O4" i="1"/>
  <c r="P4" i="1"/>
  <c r="Q4" i="1"/>
  <c r="H13" i="1"/>
  <c r="H10" i="1" s="1"/>
  <c r="H15" i="1"/>
  <c r="I15" i="1"/>
  <c r="J15" i="1"/>
  <c r="K15" i="1"/>
  <c r="L15" i="1"/>
  <c r="M15" i="1"/>
  <c r="N15" i="1"/>
  <c r="O15" i="1"/>
  <c r="P15" i="1"/>
  <c r="Q15" i="1"/>
  <c r="G15" i="1"/>
  <c r="G4" i="1"/>
  <c r="I3" i="1"/>
  <c r="H3" i="1"/>
  <c r="I2" i="1"/>
  <c r="J2" i="1"/>
  <c r="K2" i="1" s="1"/>
  <c r="L2" i="1" s="1"/>
  <c r="M2" i="1" s="1"/>
  <c r="N2" i="1" s="1"/>
  <c r="O2" i="1" s="1"/>
  <c r="P2" i="1" s="1"/>
  <c r="Q2" i="1" s="1"/>
  <c r="H2" i="1"/>
  <c r="C4" i="1"/>
  <c r="Q14" i="1"/>
  <c r="Q13" i="1"/>
  <c r="Q17" i="1" s="1"/>
  <c r="Q18" i="1" s="1"/>
  <c r="P13" i="1"/>
  <c r="O13" i="1"/>
  <c r="O10" i="1" s="1"/>
  <c r="N13" i="1"/>
  <c r="N17" i="1" s="1"/>
  <c r="N18" i="1" s="1"/>
  <c r="N19" i="1" s="1"/>
  <c r="M13" i="1"/>
  <c r="M17" i="1" s="1"/>
  <c r="M18" i="1" s="1"/>
  <c r="L13" i="1"/>
  <c r="L17" i="1" s="1"/>
  <c r="L18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N10" i="1" l="1"/>
  <c r="N11" i="1" s="1"/>
  <c r="M10" i="1"/>
  <c r="Q10" i="1"/>
  <c r="I10" i="1"/>
  <c r="M19" i="1"/>
  <c r="P10" i="1"/>
  <c r="O11" i="1" s="1"/>
  <c r="L19" i="1"/>
  <c r="K19" i="1"/>
  <c r="L10" i="1"/>
  <c r="Q19" i="1"/>
  <c r="K10" i="1"/>
  <c r="J10" i="1"/>
  <c r="G10" i="1"/>
  <c r="J3" i="1"/>
  <c r="O17" i="1"/>
  <c r="O18" i="1" s="1"/>
  <c r="O19" i="1" s="1"/>
  <c r="H17" i="1"/>
  <c r="H18" i="1" s="1"/>
  <c r="H19" i="1" s="1"/>
  <c r="P17" i="1"/>
  <c r="P18" i="1" s="1"/>
  <c r="P19" i="1" s="1"/>
  <c r="M11" i="1" l="1"/>
  <c r="L11" i="1"/>
  <c r="K11" i="1"/>
  <c r="P11" i="1"/>
  <c r="J11" i="1"/>
  <c r="I11" i="1"/>
  <c r="I14" i="1" s="1"/>
  <c r="G17" i="1"/>
  <c r="G18" i="1" s="1"/>
  <c r="G19" i="1" s="1"/>
  <c r="K3" i="1"/>
  <c r="H14" i="1"/>
  <c r="J14" i="1" l="1"/>
  <c r="L3" i="1"/>
  <c r="M3" i="1" l="1"/>
  <c r="K14" i="1" l="1"/>
  <c r="N3" i="1"/>
  <c r="O3" i="1" l="1"/>
  <c r="L14" i="1"/>
  <c r="N14" i="1" l="1"/>
  <c r="P3" i="1"/>
  <c r="P14" i="1" s="1"/>
  <c r="M14" i="1"/>
  <c r="O14" i="1" l="1"/>
  <c r="G15" i="2"/>
  <c r="G23" i="2"/>
</calcChain>
</file>

<file path=xl/sharedStrings.xml><?xml version="1.0" encoding="utf-8"?>
<sst xmlns="http://schemas.openxmlformats.org/spreadsheetml/2006/main" count="170" uniqueCount="26">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</sst>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const_p_135!$S$23:$W$23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const_p_135!$S$25:$W$25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99-431A-8E56-64985510B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const_p_135!$G$2:$Q$2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const_p_135!$G$5:$Q$5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F9D-49EA-80C6-8F8257718068}"/>
              </c:ext>
            </c:extLst>
          </c:dPt>
          <c:xVal>
            <c:numRef>
              <c:f>const_p_135!$S$23:$W$23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const_p_135!$S$24:$W$24</c:f>
              <c:numCache>
                <c:formatCode>0.00</c:formatCode>
                <c:ptCount val="5"/>
                <c:pt idx="0" formatCode="General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9D-49EA-80C6-8F8257718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var_p_135!$G$3:$Q$3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var_p_135!$G$10:$Q$10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460120815893807"/>
          <c:y val="7.4961666451412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var_p_135!$G$14:$Q$14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var_p_135!$G$13:$Q$13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7244377049678E-2"/>
          <c:y val="0.14030587550383999"/>
          <c:w val="0.87068384790668529"/>
          <c:h val="0.76686257000773406"/>
        </c:manualLayout>
      </c:layout>
      <c:lineChart>
        <c:grouping val="stacked"/>
        <c:varyColors val="0"/>
        <c:ser>
          <c:idx val="0"/>
          <c:order val="0"/>
          <c:val>
            <c:numRef>
              <c:f>const_p_105!$G$3:$Q$3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3416"/>
        <c:axId val="350362240"/>
      </c:lineChart>
      <c:catAx>
        <c:axId val="35036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2240"/>
        <c:crosses val="autoZero"/>
        <c:auto val="1"/>
        <c:lblAlgn val="ctr"/>
        <c:lblOffset val="100"/>
        <c:noMultiLvlLbl val="0"/>
      </c:catAx>
      <c:valAx>
        <c:axId val="3503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341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452182246933767"/>
          <c:y val="3.988603272790314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0.11842320148539355"/>
          <c:w val="0.70526137357830321"/>
          <c:h val="0.78874504094128528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const_p_105!$G$10:$Q$10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376"/>
        <c:axId val="350358320"/>
      </c:lineChart>
      <c:catAx>
        <c:axId val="35036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8320"/>
        <c:crosses val="autoZero"/>
        <c:auto val="1"/>
        <c:lblAlgn val="ctr"/>
        <c:lblOffset val="100"/>
        <c:noMultiLvlLbl val="0"/>
      </c:catAx>
      <c:valAx>
        <c:axId val="3503583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53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883071626123379"/>
          <c:y val="5.246769295256915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471"/>
          <c:h val="0.7850886415151088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const_p_105!$G$14:$Q$14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58712"/>
        <c:axId val="350359104"/>
      </c:lineChart>
      <c:catAx>
        <c:axId val="35035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104"/>
        <c:crosses val="autoZero"/>
        <c:auto val="1"/>
        <c:lblAlgn val="ctr"/>
        <c:lblOffset val="100"/>
        <c:noMultiLvlLbl val="0"/>
      </c:catAx>
      <c:valAx>
        <c:axId val="3503591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5871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90746575345202E-2"/>
          <c:y val="0.11639446171946691"/>
          <c:w val="0.90614185656268886"/>
          <c:h val="0.78341236734850694"/>
        </c:manualLayout>
      </c:layout>
      <c:lineChart>
        <c:grouping val="stacked"/>
        <c:varyColors val="0"/>
        <c:ser>
          <c:idx val="0"/>
          <c:order val="0"/>
          <c:val>
            <c:numRef>
              <c:f>const_p_105!$G$13:$Q$13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6496"/>
        <c:axId val="349939728"/>
      </c:lineChart>
      <c:catAx>
        <c:axId val="31262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9728"/>
        <c:crosses val="autoZero"/>
        <c:auto val="1"/>
        <c:lblAlgn val="ctr"/>
        <c:lblOffset val="100"/>
        <c:noMultiLvlLbl val="0"/>
      </c:catAx>
      <c:valAx>
        <c:axId val="34993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64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var_p_105!$G$3:$Q$3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0120"/>
        <c:axId val="349936984"/>
      </c:lineChart>
      <c:catAx>
        <c:axId val="34994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6984"/>
        <c:crosses val="autoZero"/>
        <c:auto val="1"/>
        <c:lblAlgn val="ctr"/>
        <c:lblOffset val="100"/>
        <c:noMultiLvlLbl val="0"/>
      </c:catAx>
      <c:valAx>
        <c:axId val="34993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012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0.14735402898257166"/>
          <c:w val="0.70526137357830343"/>
          <c:h val="0.75981428631030357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864"/>
        <c:axId val="349942472"/>
      </c:lineChart>
      <c:catAx>
        <c:axId val="34994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42472"/>
        <c:crosses val="autoZero"/>
        <c:auto val="1"/>
        <c:lblAlgn val="ctr"/>
        <c:lblOffset val="100"/>
        <c:noMultiLvlLbl val="0"/>
      </c:catAx>
      <c:valAx>
        <c:axId val="3499424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94286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67832446364686"/>
          <c:y val="4.00569794503777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097"/>
          <c:h val="0.72794647668021895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36200"/>
        <c:axId val="349938160"/>
      </c:lineChart>
      <c:catAx>
        <c:axId val="349936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8160"/>
        <c:crosses val="autoZero"/>
        <c:auto val="1"/>
        <c:lblAlgn val="ctr"/>
        <c:lblOffset val="100"/>
        <c:noMultiLvlLbl val="0"/>
      </c:catAx>
      <c:valAx>
        <c:axId val="349938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993620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533696897268734E-2"/>
          <c:y val="0.13027108842765772"/>
          <c:w val="0.84708651405317503"/>
          <c:h val="0.76807003226885617"/>
        </c:manualLayout>
      </c:layout>
      <c:lineChart>
        <c:grouping val="stacked"/>
        <c:varyColors val="0"/>
        <c:ser>
          <c:idx val="0"/>
          <c:order val="0"/>
          <c:val>
            <c:numRef>
              <c:f>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080"/>
        <c:axId val="349937768"/>
      </c:lineChart>
      <c:catAx>
        <c:axId val="349942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7768"/>
        <c:crosses val="autoZero"/>
        <c:auto val="1"/>
        <c:lblAlgn val="ctr"/>
        <c:lblOffset val="100"/>
        <c:noMultiLvlLbl val="0"/>
      </c:catAx>
      <c:valAx>
        <c:axId val="349937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20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'M=1,5(const)'!$G$3:$Q$3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67-4D5E-BB09-12EA5F53D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'M=1,5(const)'!$G$10:$Q$10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E3-4C89-8BAE-81FFBFD4C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'M=1,5(const)'!$G$6:$Q$6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64-445B-AD27-94AE4230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'M=1,5(const)'!$G$5:$Q$5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5B-42B2-8BF1-628EDC3D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'M=1,5(var)'!$G$3:$Q$3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74-4761-8033-9CFB012F8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93466175292366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'M=1,5(var)'!$G$10:$Q$10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8-40E2-9E09-13E295A87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460120815893807"/>
          <c:y val="7.4961666451412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'M=1,5(var)'!$G$14:$Q$14</c:f>
              <c:numCache>
                <c:formatCode>0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A-4E93-B4B7-7EC624598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'M=1,5(var)'!$G$13:$Q$13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D6-479A-9413-431CAF680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15</xdr:row>
          <xdr:rowOff>28575</xdr:rowOff>
        </xdr:from>
        <xdr:to>
          <xdr:col>4</xdr:col>
          <xdr:colOff>171450</xdr:colOff>
          <xdr:row>19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0.65085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3050" y="0"/>
          <a:ext cx="963244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0.39416</cdr:x>
      <cdr:y>0</cdr:y>
    </cdr:from>
    <cdr:to>
      <cdr:x>0.64406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9300" y="0"/>
          <a:ext cx="1280283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17</xdr:row>
          <xdr:rowOff>0</xdr:rowOff>
        </xdr:from>
        <xdr:to>
          <xdr:col>3</xdr:col>
          <xdr:colOff>571500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15</xdr:row>
          <xdr:rowOff>133350</xdr:rowOff>
        </xdr:from>
        <xdr:to>
          <xdr:col>4</xdr:col>
          <xdr:colOff>57150</xdr:colOff>
          <xdr:row>18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16</xdr:row>
          <xdr:rowOff>85725</xdr:rowOff>
        </xdr:from>
        <xdr:to>
          <xdr:col>4</xdr:col>
          <xdr:colOff>104775</xdr:colOff>
          <xdr:row>20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15</xdr:row>
          <xdr:rowOff>133350</xdr:rowOff>
        </xdr:from>
        <xdr:to>
          <xdr:col>4</xdr:col>
          <xdr:colOff>0</xdr:colOff>
          <xdr:row>18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219934</xdr:colOff>
      <xdr:row>25</xdr:row>
      <xdr:rowOff>95251</xdr:rowOff>
    </xdr:from>
    <xdr:to>
      <xdr:col>9</xdr:col>
      <xdr:colOff>0</xdr:colOff>
      <xdr:row>41</xdr:row>
      <xdr:rowOff>13149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158750</xdr:colOff>
      <xdr:row>25</xdr:row>
      <xdr:rowOff>72466</xdr:rowOff>
    </xdr:from>
    <xdr:to>
      <xdr:col>17</xdr:col>
      <xdr:colOff>444500</xdr:colOff>
      <xdr:row>40</xdr:row>
      <xdr:rowOff>158750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17</xdr:row>
          <xdr:rowOff>38100</xdr:rowOff>
        </xdr:from>
        <xdr:to>
          <xdr:col>4</xdr:col>
          <xdr:colOff>85725</xdr:colOff>
          <xdr:row>22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X56"/>
  <sheetViews>
    <sheetView tabSelected="1" zoomScale="60" zoomScaleNormal="60" workbookViewId="0">
      <selection activeCell="W38" sqref="W38"/>
    </sheetView>
  </sheetViews>
  <sheetFormatPr defaultRowHeight="15" x14ac:dyDescent="0.25"/>
  <cols>
    <col min="3" max="3" width="10.140625" bestFit="1" customWidth="1"/>
    <col min="20" max="24" width="10.140625" bestFit="1" customWidth="1"/>
  </cols>
  <sheetData>
    <row r="1" spans="1:24" x14ac:dyDescent="0.25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 x14ac:dyDescent="0.25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 x14ac:dyDescent="0.25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 x14ac:dyDescent="0.25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 x14ac:dyDescent="0.25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24" x14ac:dyDescent="0.25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24" x14ac:dyDescent="0.25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 x14ac:dyDescent="0.25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 x14ac:dyDescent="0.25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24" x14ac:dyDescent="0.25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 x14ac:dyDescent="0.25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 x14ac:dyDescent="0.25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24" x14ac:dyDescent="0.25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 x14ac:dyDescent="0.25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 x14ac:dyDescent="0.25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 x14ac:dyDescent="0.25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 x14ac:dyDescent="0.25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odrov">
                <anchor moveWithCells="1" sizeWithCells="1">
                  <from>
                    <xdr:col>1</xdr:col>
                    <xdr:colOff>314325</xdr:colOff>
                    <xdr:row>15</xdr:row>
                    <xdr:rowOff>28575</xdr:rowOff>
                  </from>
                  <to>
                    <xdr:col>4</xdr:col>
                    <xdr:colOff>171450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A306-F7A8-44AA-ABDE-A282F5ECB721}">
  <sheetPr codeName="Лист2"/>
  <dimension ref="B1:Y30"/>
  <sheetViews>
    <sheetView zoomScale="60" zoomScaleNormal="60" workbookViewId="0">
      <selection activeCell="T35" sqref="T35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 x14ac:dyDescent="0.25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 x14ac:dyDescent="0.25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 x14ac:dyDescent="0.25">
      <c r="B8" s="11" t="s">
        <v>10</v>
      </c>
      <c r="C8" s="11">
        <v>1004.4</v>
      </c>
    </row>
    <row r="10" spans="2:17" x14ac:dyDescent="0.25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 x14ac:dyDescent="0.25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 x14ac:dyDescent="0.25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5" x14ac:dyDescent="0.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</row>
    <row r="18" spans="6:25" x14ac:dyDescent="0.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5" x14ac:dyDescent="0.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5" x14ac:dyDescent="0.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</row>
    <row r="21" spans="6:25" x14ac:dyDescent="0.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25" x14ac:dyDescent="0.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25" x14ac:dyDescent="0.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26" spans="6:25" x14ac:dyDescent="0.25">
      <c r="T26" s="9"/>
      <c r="U26" s="9">
        <v>0</v>
      </c>
      <c r="V26" s="9">
        <v>2.5000000000000001E-2</v>
      </c>
      <c r="W26" s="9">
        <v>0.05</v>
      </c>
      <c r="X26" s="9">
        <v>7.4999999999999997E-2</v>
      </c>
      <c r="Y26" s="9">
        <v>0.1</v>
      </c>
    </row>
    <row r="27" spans="6:25" x14ac:dyDescent="0.25">
      <c r="T27" s="9" t="s">
        <v>20</v>
      </c>
      <c r="U27" s="9">
        <v>46.31</v>
      </c>
      <c r="V27" s="9">
        <v>58.19</v>
      </c>
      <c r="W27" s="9">
        <v>80.48</v>
      </c>
      <c r="X27" s="9">
        <v>120.03</v>
      </c>
      <c r="Y27" s="9">
        <v>213.26</v>
      </c>
    </row>
    <row r="28" spans="6:25" x14ac:dyDescent="0.25">
      <c r="T28" s="9" t="s">
        <v>21</v>
      </c>
      <c r="U28" s="9">
        <v>133165</v>
      </c>
      <c r="V28" s="9">
        <v>132230</v>
      </c>
      <c r="W28" s="9">
        <v>129765</v>
      </c>
      <c r="X28" s="9">
        <v>123565</v>
      </c>
      <c r="Y28" s="9">
        <v>101336</v>
      </c>
    </row>
    <row r="29" spans="6:25" x14ac:dyDescent="0.25">
      <c r="T29" s="9" t="s">
        <v>22</v>
      </c>
      <c r="U29" s="9">
        <v>1.387</v>
      </c>
      <c r="V29" s="9"/>
      <c r="W29" s="9"/>
      <c r="X29" s="9"/>
      <c r="Y29" s="9"/>
    </row>
    <row r="30" spans="6:25" x14ac:dyDescent="0.25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drov">
                <anchor moveWithCells="1" sizeWithCells="1">
                  <from>
                    <xdr:col>1</xdr:col>
                    <xdr:colOff>219075</xdr:colOff>
                    <xdr:row>17</xdr:row>
                    <xdr:rowOff>0</xdr:rowOff>
                  </from>
                  <to>
                    <xdr:col>3</xdr:col>
                    <xdr:colOff>571500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8A509-E30B-4586-BA8F-7233FB8B7A4B}">
  <sheetPr codeName="Лист3"/>
  <dimension ref="B1:AK25"/>
  <sheetViews>
    <sheetView zoomScale="70" zoomScaleNormal="70" workbookViewId="0">
      <selection activeCell="V21" sqref="V21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 x14ac:dyDescent="0.25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 x14ac:dyDescent="0.25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25">
      <c r="B8" s="11" t="s">
        <v>10</v>
      </c>
      <c r="C8" s="11">
        <v>1004.4</v>
      </c>
    </row>
    <row r="10" spans="2:17" x14ac:dyDescent="0.25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 x14ac:dyDescent="0.25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 x14ac:dyDescent="0.25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 x14ac:dyDescent="0.25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 x14ac:dyDescent="0.25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 x14ac:dyDescent="0.25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 x14ac:dyDescent="0.25">
      <c r="AF22" s="9"/>
      <c r="AG22" s="9"/>
      <c r="AH22" s="9"/>
      <c r="AI22" s="9"/>
      <c r="AJ22" s="9"/>
      <c r="AK22" s="9"/>
    </row>
    <row r="23" spans="6:37" x14ac:dyDescent="0.25">
      <c r="AF23" s="9"/>
      <c r="AG23" s="9"/>
      <c r="AH23" s="9"/>
      <c r="AI23" s="9"/>
      <c r="AJ23" s="9"/>
      <c r="AK23" s="9"/>
    </row>
    <row r="24" spans="6:37" x14ac:dyDescent="0.25">
      <c r="AF24" s="9"/>
      <c r="AG24" s="9"/>
      <c r="AH24" s="9"/>
      <c r="AI24" s="9"/>
      <c r="AJ24" s="9"/>
      <c r="AK24" s="9"/>
    </row>
    <row r="25" spans="6:37" x14ac:dyDescent="0.25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odrov">
                <anchor moveWithCells="1" sizeWithCells="1">
                  <from>
                    <xdr:col>1</xdr:col>
                    <xdr:colOff>342900</xdr:colOff>
                    <xdr:row>15</xdr:row>
                    <xdr:rowOff>133350</xdr:rowOff>
                  </from>
                  <to>
                    <xdr:col>4</xdr:col>
                    <xdr:colOff>57150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B8E5-3139-46F2-B0BD-F1180BB7B12A}">
  <sheetPr codeName="Лист4"/>
  <dimension ref="B1:AI31"/>
  <sheetViews>
    <sheetView zoomScale="70" zoomScaleNormal="70" workbookViewId="0">
      <selection activeCell="F18" sqref="F18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 x14ac:dyDescent="0.25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 x14ac:dyDescent="0.25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 x14ac:dyDescent="0.25">
      <c r="B8" s="11" t="s">
        <v>10</v>
      </c>
      <c r="C8" s="11">
        <v>1004.4</v>
      </c>
    </row>
    <row r="10" spans="2:17" x14ac:dyDescent="0.25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 x14ac:dyDescent="0.25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 x14ac:dyDescent="0.25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 x14ac:dyDescent="0.2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 x14ac:dyDescent="0.2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 x14ac:dyDescent="0.2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 x14ac:dyDescent="0.2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 x14ac:dyDescent="0.2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 x14ac:dyDescent="0.2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 x14ac:dyDescent="0.2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 x14ac:dyDescent="0.2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 x14ac:dyDescent="0.25">
      <c r="AD29" s="9" t="s">
        <v>20</v>
      </c>
      <c r="AE29" s="9"/>
      <c r="AF29" s="9"/>
      <c r="AG29" s="9"/>
      <c r="AH29" s="9"/>
      <c r="AI29" s="9"/>
    </row>
    <row r="30" spans="6:35" x14ac:dyDescent="0.25">
      <c r="AD30" s="9" t="s">
        <v>21</v>
      </c>
      <c r="AE30" s="9"/>
      <c r="AF30" s="9"/>
      <c r="AG30" s="9"/>
      <c r="AH30" s="9"/>
      <c r="AI30" s="9"/>
    </row>
    <row r="31" spans="6:35" x14ac:dyDescent="0.2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drov">
                <anchor moveWithCells="1" sizeWithCells="1">
                  <from>
                    <xdr:col>1</xdr:col>
                    <xdr:colOff>200025</xdr:colOff>
                    <xdr:row>16</xdr:row>
                    <xdr:rowOff>85725</xdr:rowOff>
                  </from>
                  <to>
                    <xdr:col>4</xdr:col>
                    <xdr:colOff>104775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E1F2B-946B-4420-A0A4-35791A292E53}">
  <sheetPr codeName="Лист5"/>
  <dimension ref="A1:X56"/>
  <sheetViews>
    <sheetView zoomScale="70" zoomScaleNormal="70" workbookViewId="0">
      <selection activeCell="Z14" sqref="Z14"/>
    </sheetView>
  </sheetViews>
  <sheetFormatPr defaultRowHeight="15" x14ac:dyDescent="0.25"/>
  <sheetData>
    <row r="1" spans="1:24" x14ac:dyDescent="0.25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 x14ac:dyDescent="0.25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 x14ac:dyDescent="0.25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 x14ac:dyDescent="0.25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 x14ac:dyDescent="0.25">
      <c r="A5" s="2"/>
      <c r="B5" s="2"/>
      <c r="C5" s="2"/>
      <c r="D5" s="2"/>
      <c r="E5" s="2"/>
      <c r="F5" s="3" t="s">
        <v>6</v>
      </c>
      <c r="G5" s="3">
        <v>106.77346521740971</v>
      </c>
      <c r="H5" s="3">
        <v>118.30880602632858</v>
      </c>
      <c r="I5" s="3">
        <v>131.83543684838898</v>
      </c>
      <c r="J5" s="3">
        <v>147.82577804181702</v>
      </c>
      <c r="K5" s="3">
        <v>166.91248036802023</v>
      </c>
      <c r="L5" s="3">
        <v>189.94514290211384</v>
      </c>
      <c r="M5" s="3">
        <v>218.08663139815965</v>
      </c>
      <c r="N5" s="3">
        <v>252.96346633415229</v>
      </c>
      <c r="O5" s="3">
        <v>296.90787671612031</v>
      </c>
      <c r="P5" s="3">
        <v>353.36103997023986</v>
      </c>
      <c r="Q5" s="3">
        <v>427.57197830846815</v>
      </c>
      <c r="R5" s="2"/>
      <c r="S5" s="2"/>
      <c r="T5" s="1"/>
      <c r="U5" s="1"/>
      <c r="V5" s="1"/>
      <c r="W5" s="1"/>
      <c r="X5" s="1"/>
    </row>
    <row r="6" spans="1:24" x14ac:dyDescent="0.25">
      <c r="A6" s="2"/>
      <c r="B6" s="20" t="s">
        <v>7</v>
      </c>
      <c r="C6" s="20">
        <v>1.4</v>
      </c>
      <c r="D6" s="2"/>
      <c r="E6" s="2"/>
      <c r="F6" s="3" t="s">
        <v>8</v>
      </c>
      <c r="G6" s="3">
        <v>211245.16057183896</v>
      </c>
      <c r="H6" s="3">
        <v>209627.88029721737</v>
      </c>
      <c r="I6" s="3">
        <v>207514.57687025546</v>
      </c>
      <c r="J6" s="3">
        <v>204713.35765700546</v>
      </c>
      <c r="K6" s="3">
        <v>200938.0193143356</v>
      </c>
      <c r="L6" s="3">
        <v>195753.54995743209</v>
      </c>
      <c r="M6" s="3">
        <v>188480.7162976643</v>
      </c>
      <c r="N6" s="3">
        <v>178025.8488447472</v>
      </c>
      <c r="O6" s="3">
        <v>162564.54158267644</v>
      </c>
      <c r="P6" s="3">
        <v>138925.69777259091</v>
      </c>
      <c r="Q6" s="3">
        <v>101325</v>
      </c>
      <c r="R6" s="2"/>
      <c r="S6" s="2"/>
      <c r="T6" s="1"/>
      <c r="U6" s="1"/>
      <c r="V6" s="1"/>
      <c r="W6" s="1"/>
      <c r="X6" s="1"/>
    </row>
    <row r="7" spans="1:24" x14ac:dyDescent="0.25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 x14ac:dyDescent="0.25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 x14ac:dyDescent="0.25">
      <c r="A10" s="2"/>
      <c r="B10" s="21" t="s">
        <v>11</v>
      </c>
      <c r="C10" s="21">
        <v>218000</v>
      </c>
      <c r="D10" s="2"/>
      <c r="E10" s="2"/>
      <c r="F10" s="3" t="s">
        <v>12</v>
      </c>
      <c r="G10" s="6">
        <f>G4*G7*G13</f>
        <v>2.5439728909582437</v>
      </c>
      <c r="H10" s="6">
        <f t="shared" ref="H10:Q10" si="3">H4*H7*H13</f>
        <v>2.5439784418729214</v>
      </c>
      <c r="I10" s="6">
        <f t="shared" si="3"/>
        <v>2.544289303683049</v>
      </c>
      <c r="J10" s="6">
        <f t="shared" si="3"/>
        <v>2.5447044495398883</v>
      </c>
      <c r="K10" s="6">
        <f t="shared" si="3"/>
        <v>2.5451770625558776</v>
      </c>
      <c r="L10" s="6">
        <f t="shared" si="3"/>
        <v>2.5456561547186798</v>
      </c>
      <c r="M10" s="6">
        <f t="shared" si="3"/>
        <v>2.5460909585667735</v>
      </c>
      <c r="N10" s="7">
        <f t="shared" si="3"/>
        <v>2.5464378453092893</v>
      </c>
      <c r="O10" s="6">
        <f t="shared" si="3"/>
        <v>2.5466695876878793</v>
      </c>
      <c r="P10" s="6">
        <f t="shared" si="3"/>
        <v>2.5467851863366322</v>
      </c>
      <c r="Q10" s="6">
        <f t="shared" si="3"/>
        <v>2.5468154468156907</v>
      </c>
      <c r="R10" s="2"/>
      <c r="S10" s="2"/>
      <c r="T10" s="1"/>
      <c r="U10" s="1"/>
      <c r="V10" s="1"/>
      <c r="W10" s="1"/>
      <c r="X10" s="1"/>
    </row>
    <row r="11" spans="1:24" x14ac:dyDescent="0.25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-3.6777769843794411E-2</v>
      </c>
      <c r="I11" s="3">
        <f t="shared" ref="I11:P11" si="4">I13*(I10-J10)</f>
        <v>-5.4731075735119435E-2</v>
      </c>
      <c r="J11" s="3">
        <f t="shared" si="4"/>
        <v>-6.9864568143776118E-2</v>
      </c>
      <c r="K11" s="3">
        <f t="shared" si="4"/>
        <v>-7.9966648796752193E-2</v>
      </c>
      <c r="L11" s="3">
        <f t="shared" si="4"/>
        <v>-8.258903614960536E-2</v>
      </c>
      <c r="M11" s="3">
        <f t="shared" si="4"/>
        <v>-7.5651464494586471E-2</v>
      </c>
      <c r="N11" s="3">
        <f t="shared" si="4"/>
        <v>-5.8622404806882883E-2</v>
      </c>
      <c r="O11" s="3">
        <f t="shared" si="4"/>
        <v>-3.4322163971628912E-2</v>
      </c>
      <c r="P11" s="3">
        <f t="shared" si="4"/>
        <v>-1.0692876188031671E-2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 x14ac:dyDescent="0.25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 x14ac:dyDescent="0.25">
      <c r="A13" s="2"/>
      <c r="B13" s="2"/>
      <c r="C13" s="2"/>
      <c r="D13" s="2"/>
      <c r="E13" s="2"/>
      <c r="F13" s="3" t="s">
        <v>6</v>
      </c>
      <c r="G13" s="23">
        <f>(H4*H5*H7)/(G4*G7)</f>
        <v>106.77369743876154</v>
      </c>
      <c r="H13" s="3">
        <f>((G6-H6)/H7+G5*H5)^0.5</f>
        <v>118.30906417455424</v>
      </c>
      <c r="I13" s="3">
        <f t="shared" ref="I13:Q13" si="5">((H6-I6)/I7+H5*I5)^0.5</f>
        <v>131.83577490525659</v>
      </c>
      <c r="J13" s="3">
        <f t="shared" si="5"/>
        <v>147.82616174361391</v>
      </c>
      <c r="K13" s="3">
        <f t="shared" si="5"/>
        <v>166.9128718972006</v>
      </c>
      <c r="L13" s="3">
        <f t="shared" si="5"/>
        <v>189.9455041893037</v>
      </c>
      <c r="M13" s="3">
        <f t="shared" si="5"/>
        <v>218.08692931277685</v>
      </c>
      <c r="N13" s="3">
        <f t="shared" si="5"/>
        <v>252.96367959781344</v>
      </c>
      <c r="O13" s="3">
        <f t="shared" si="5"/>
        <v>296.90800318091112</v>
      </c>
      <c r="P13" s="3">
        <f t="shared" si="5"/>
        <v>353.36110070674175</v>
      </c>
      <c r="Q13" s="3">
        <f t="shared" si="5"/>
        <v>427.57201213450554</v>
      </c>
      <c r="R13" s="2"/>
      <c r="S13" s="2"/>
      <c r="T13" s="1"/>
      <c r="U13" s="1"/>
      <c r="V13" s="1"/>
      <c r="W13" s="1"/>
      <c r="X13" s="1"/>
    </row>
    <row r="14" spans="1:24" x14ac:dyDescent="0.25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211245.13118963907</v>
      </c>
      <c r="H14" s="3">
        <f>H6+H11</f>
        <v>209627.84351944752</v>
      </c>
      <c r="I14" s="3">
        <f t="shared" ref="I14:Q14" si="6">I6+I11</f>
        <v>207514.52213917972</v>
      </c>
      <c r="J14" s="3">
        <f t="shared" si="6"/>
        <v>204713.2877924373</v>
      </c>
      <c r="K14" s="3">
        <f t="shared" si="6"/>
        <v>200937.9393476868</v>
      </c>
      <c r="L14" s="3">
        <f t="shared" si="6"/>
        <v>195753.46736839594</v>
      </c>
      <c r="M14" s="3">
        <f t="shared" si="6"/>
        <v>188480.64064619981</v>
      </c>
      <c r="N14" s="3">
        <f t="shared" si="6"/>
        <v>178025.79022234239</v>
      </c>
      <c r="O14" s="3">
        <f t="shared" si="6"/>
        <v>162564.50726051247</v>
      </c>
      <c r="P14" s="3">
        <f t="shared" si="6"/>
        <v>138925.68707971473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 x14ac:dyDescent="0.25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 x14ac:dyDescent="0.25">
      <c r="A17" s="2"/>
      <c r="B17" s="2"/>
      <c r="C17" s="2"/>
      <c r="D17" s="2"/>
      <c r="E17" s="2"/>
      <c r="F17" s="3" t="s">
        <v>16</v>
      </c>
      <c r="G17" s="3">
        <f>$C$11-(G13^2)/(2*$C$8)</f>
        <v>282.48466026247303</v>
      </c>
      <c r="H17" s="3">
        <f t="shared" ref="H17:Q17" si="8">$C$11-(H13^2)/(2*$C$8)</f>
        <v>281.19214124559005</v>
      </c>
      <c r="I17" s="3">
        <f t="shared" si="8"/>
        <v>279.50773419709805</v>
      </c>
      <c r="J17" s="3">
        <f t="shared" si="8"/>
        <v>277.28157800883662</v>
      </c>
      <c r="K17" s="3">
        <f t="shared" si="8"/>
        <v>274.29106988999837</v>
      </c>
      <c r="L17" s="3">
        <f t="shared" si="8"/>
        <v>270.19937944955757</v>
      </c>
      <c r="M17" s="3">
        <f t="shared" si="8"/>
        <v>264.48322344828949</v>
      </c>
      <c r="N17" s="3">
        <f t="shared" si="8"/>
        <v>256.30485105751438</v>
      </c>
      <c r="O17" s="3">
        <f t="shared" si="8"/>
        <v>244.27590882473322</v>
      </c>
      <c r="P17" s="3">
        <f t="shared" si="8"/>
        <v>226.00146381288329</v>
      </c>
      <c r="Q17" s="3">
        <f t="shared" si="8"/>
        <v>197.15152451177335</v>
      </c>
      <c r="R17" s="2"/>
      <c r="S17" s="2"/>
      <c r="T17" s="1"/>
      <c r="U17" s="1"/>
      <c r="V17" s="1"/>
      <c r="W17" s="1"/>
      <c r="X17" s="1"/>
    </row>
    <row r="18" spans="1:24" x14ac:dyDescent="0.25">
      <c r="A18" s="2"/>
      <c r="B18" s="2"/>
      <c r="C18" s="2"/>
      <c r="D18" s="2"/>
      <c r="E18" s="2"/>
      <c r="F18" s="3" t="s">
        <v>17</v>
      </c>
      <c r="G18" s="3">
        <f>SQRT($C$7*$C$6*G17)</f>
        <v>336.88464360190028</v>
      </c>
      <c r="H18" s="3">
        <f t="shared" ref="H18:Q18" si="9">SQRT($C$7*$C$6*H17)</f>
        <v>336.11304589459371</v>
      </c>
      <c r="I18" s="3">
        <f t="shared" si="9"/>
        <v>335.10483568163181</v>
      </c>
      <c r="J18" s="3">
        <f t="shared" si="9"/>
        <v>333.76768658168902</v>
      </c>
      <c r="K18" s="3">
        <f t="shared" si="9"/>
        <v>331.96294924563739</v>
      </c>
      <c r="L18" s="3">
        <f t="shared" si="9"/>
        <v>329.47764544375053</v>
      </c>
      <c r="M18" s="3">
        <f t="shared" si="9"/>
        <v>325.97391220642726</v>
      </c>
      <c r="N18" s="3">
        <f t="shared" si="9"/>
        <v>320.89444059495298</v>
      </c>
      <c r="O18" s="3">
        <f t="shared" si="9"/>
        <v>313.27381721132053</v>
      </c>
      <c r="P18" s="3">
        <f t="shared" si="9"/>
        <v>301.32794245246328</v>
      </c>
      <c r="Q18" s="3">
        <f t="shared" si="9"/>
        <v>281.43872194328497</v>
      </c>
      <c r="R18" s="2"/>
      <c r="S18" s="2"/>
      <c r="T18" s="1"/>
      <c r="U18" s="1"/>
      <c r="V18" s="1"/>
      <c r="W18" s="1"/>
      <c r="X18" s="1"/>
    </row>
    <row r="19" spans="1:24" x14ac:dyDescent="0.25">
      <c r="A19" s="2"/>
      <c r="B19" s="2"/>
      <c r="C19" s="2"/>
      <c r="D19" s="2"/>
      <c r="E19" s="2"/>
      <c r="F19" s="3" t="s">
        <v>18</v>
      </c>
      <c r="G19" s="3">
        <f>G13/G18</f>
        <v>0.31694438872950531</v>
      </c>
      <c r="H19" s="3">
        <f t="shared" ref="H19:Q19" si="10">H13/H18</f>
        <v>0.35199188374156831</v>
      </c>
      <c r="I19" s="3">
        <f t="shared" si="10"/>
        <v>0.39341650990231575</v>
      </c>
      <c r="J19" s="3">
        <f t="shared" si="10"/>
        <v>0.4429013582998057</v>
      </c>
      <c r="K19" s="3">
        <f t="shared" si="10"/>
        <v>0.50280572659237555</v>
      </c>
      <c r="L19" s="3">
        <f t="shared" si="10"/>
        <v>0.57650498240473735</v>
      </c>
      <c r="M19" s="3">
        <f t="shared" si="10"/>
        <v>0.66903184931765469</v>
      </c>
      <c r="N19" s="3">
        <f t="shared" si="10"/>
        <v>0.78830807766194766</v>
      </c>
      <c r="O19" s="3">
        <f t="shared" si="10"/>
        <v>0.94775875565952661</v>
      </c>
      <c r="P19" s="3">
        <f t="shared" si="10"/>
        <v>1.1726794993879039</v>
      </c>
      <c r="Q19" s="3">
        <f t="shared" si="10"/>
        <v>1.5192366181248829</v>
      </c>
      <c r="R19" s="2"/>
      <c r="S19" s="2"/>
      <c r="T19" s="1"/>
      <c r="U19" s="1"/>
      <c r="V19" s="1"/>
      <c r="W19" s="1"/>
      <c r="X19" s="1"/>
    </row>
    <row r="20" spans="1:2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Bodrov">
                <anchor moveWithCells="1" sizeWithCells="1">
                  <from>
                    <xdr:col>1</xdr:col>
                    <xdr:colOff>342900</xdr:colOff>
                    <xdr:row>15</xdr:row>
                    <xdr:rowOff>133350</xdr:rowOff>
                  </from>
                  <to>
                    <xdr:col>4</xdr:col>
                    <xdr:colOff>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5E44D-3137-4F93-9B2E-393B85090246}">
  <sheetPr codeName="Лист6"/>
  <dimension ref="B1:S30"/>
  <sheetViews>
    <sheetView zoomScale="69" zoomScaleNormal="69" workbookViewId="0">
      <selection activeCell="V10" sqref="V10"/>
    </sheetView>
  </sheetViews>
  <sheetFormatPr defaultRowHeight="15" x14ac:dyDescent="0.25"/>
  <sheetData>
    <row r="1" spans="2:17" x14ac:dyDescent="0.25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25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25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9" t="s">
        <v>6</v>
      </c>
      <c r="G5" s="9">
        <v>44.280058829103695</v>
      </c>
      <c r="H5" s="9">
        <v>49.167521397240662</v>
      </c>
      <c r="I5" s="9">
        <v>54.90800996055215</v>
      </c>
      <c r="J5" s="9">
        <v>61.776175505769835</v>
      </c>
      <c r="K5" s="9">
        <v>70.105343915275839</v>
      </c>
      <c r="L5" s="9">
        <v>80.375272411770609</v>
      </c>
      <c r="M5" s="9">
        <v>93.311035504256878</v>
      </c>
      <c r="N5" s="9">
        <v>110.08900148034917</v>
      </c>
      <c r="O5" s="9">
        <v>132.84483372608193</v>
      </c>
      <c r="P5" s="9">
        <v>166.34447275673128</v>
      </c>
      <c r="Q5" s="9">
        <v>421.41061851010818</v>
      </c>
    </row>
    <row r="6" spans="2:17" x14ac:dyDescent="0.25">
      <c r="B6" s="11" t="s">
        <v>7</v>
      </c>
      <c r="C6" s="11">
        <v>1.4</v>
      </c>
      <c r="F6" s="9" t="s">
        <v>8</v>
      </c>
      <c r="G6" s="9">
        <v>345885.48181827401</v>
      </c>
      <c r="H6" s="9">
        <v>344879.25937080476</v>
      </c>
      <c r="I6" s="9">
        <v>343562.97041012999</v>
      </c>
      <c r="J6" s="9">
        <v>341797.63022535248</v>
      </c>
      <c r="K6" s="9">
        <v>339380.5659845976</v>
      </c>
      <c r="L6" s="9">
        <v>335988.65948717593</v>
      </c>
      <c r="M6" s="9">
        <v>331081.85058878252</v>
      </c>
      <c r="N6" s="9">
        <v>323696.64769306255</v>
      </c>
      <c r="O6" s="9">
        <v>311934.4041231263</v>
      </c>
      <c r="P6" s="9">
        <v>291317.57904759562</v>
      </c>
      <c r="Q6" s="9">
        <v>101325</v>
      </c>
    </row>
    <row r="7" spans="2:17" x14ac:dyDescent="0.25">
      <c r="B7" s="11" t="s">
        <v>3</v>
      </c>
      <c r="C7" s="11">
        <v>286.97199999999998</v>
      </c>
      <c r="F7" s="9" t="s">
        <v>9</v>
      </c>
      <c r="G7" s="9">
        <v>4.1969391264855913</v>
      </c>
      <c r="H7" s="9">
        <v>4.1880453558893604</v>
      </c>
      <c r="I7" s="9">
        <v>4.176389567062591</v>
      </c>
      <c r="J7" s="9">
        <v>4.1607204320259426</v>
      </c>
      <c r="K7" s="9">
        <v>4.139204255460089</v>
      </c>
      <c r="L7" s="9">
        <v>4.1088992233295718</v>
      </c>
      <c r="M7" s="9">
        <v>4.0648478096841334</v>
      </c>
      <c r="N7" s="9">
        <v>3.9981069552022133</v>
      </c>
      <c r="O7" s="9">
        <v>3.890778917374957</v>
      </c>
      <c r="P7" s="9">
        <v>3.6996975473600591</v>
      </c>
      <c r="Q7" s="9">
        <v>1.7675767798836417</v>
      </c>
    </row>
    <row r="8" spans="2:17" x14ac:dyDescent="0.25">
      <c r="B8" s="11" t="s">
        <v>10</v>
      </c>
      <c r="C8" s="11">
        <v>1004.4</v>
      </c>
    </row>
    <row r="10" spans="2:17" x14ac:dyDescent="0.25">
      <c r="B10" s="22" t="s">
        <v>11</v>
      </c>
      <c r="C10" s="22">
        <v>350000</v>
      </c>
      <c r="F10" s="9" t="s">
        <v>12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 x14ac:dyDescent="0.25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3">
        <v>0</v>
      </c>
    </row>
    <row r="12" spans="2:17" x14ac:dyDescent="0.25">
      <c r="B12" s="22" t="s">
        <v>8</v>
      </c>
      <c r="C12" s="22">
        <v>101325</v>
      </c>
    </row>
    <row r="13" spans="2:17" x14ac:dyDescent="0.25">
      <c r="F13" s="9" t="s">
        <v>6</v>
      </c>
      <c r="G13" s="13">
        <f>(H4*H5*H7)/(G4*G7)</f>
        <v>44.279655388571626</v>
      </c>
      <c r="H13" s="14">
        <f t="shared" ref="H13:Q13" si="5">((G6-H6)/H7+G5*H5)^0.5</f>
        <v>49.167076154097323</v>
      </c>
      <c r="I13" s="14">
        <f t="shared" si="5"/>
        <v>54.907783128874669</v>
      </c>
      <c r="J13" s="14">
        <f t="shared" si="5"/>
        <v>61.776160474409025</v>
      </c>
      <c r="K13" s="14">
        <f t="shared" si="5"/>
        <v>70.105521972519099</v>
      </c>
      <c r="L13" s="14">
        <f t="shared" si="5"/>
        <v>80.375609449287566</v>
      </c>
      <c r="M13" s="14">
        <f t="shared" si="5"/>
        <v>93.311479205994601</v>
      </c>
      <c r="N13" s="14">
        <f t="shared" si="5"/>
        <v>110.08948017821383</v>
      </c>
      <c r="O13" s="14">
        <f t="shared" si="5"/>
        <v>132.8452587119364</v>
      </c>
      <c r="P13" s="14">
        <f t="shared" si="5"/>
        <v>166.34474513447597</v>
      </c>
      <c r="Q13" s="14">
        <f t="shared" si="5"/>
        <v>421.4106349888167</v>
      </c>
    </row>
    <row r="14" spans="2:17" x14ac:dyDescent="0.25">
      <c r="B14" s="9" t="s">
        <v>15</v>
      </c>
      <c r="C14" s="9">
        <v>2000</v>
      </c>
      <c r="D14">
        <v>2000</v>
      </c>
      <c r="F14" s="9" t="s">
        <v>8</v>
      </c>
      <c r="G14" s="15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15">
        <f t="shared" si="6"/>
        <v>101325</v>
      </c>
    </row>
    <row r="15" spans="2:17" x14ac:dyDescent="0.25">
      <c r="F15" s="9" t="s">
        <v>9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7" spans="6:19" x14ac:dyDescent="0.25">
      <c r="F17" s="9" t="s">
        <v>16</v>
      </c>
      <c r="G17" s="14">
        <f>$C$11-(G13^2)/(2*$C$8)</f>
        <v>287.18395067635873</v>
      </c>
      <c r="H17" s="14">
        <f t="shared" ref="H17:Q17" si="8">$C$11-(H13^2)/(2*$C$8)</f>
        <v>286.95659429632479</v>
      </c>
      <c r="I17" s="14">
        <f t="shared" si="8"/>
        <v>286.65917132211894</v>
      </c>
      <c r="J17" s="14">
        <f t="shared" si="8"/>
        <v>286.26021206543214</v>
      </c>
      <c r="K17" s="14">
        <f t="shared" si="8"/>
        <v>285.71337305304695</v>
      </c>
      <c r="L17" s="14">
        <f t="shared" si="8"/>
        <v>284.94403096657487</v>
      </c>
      <c r="M17" s="14">
        <f t="shared" si="8"/>
        <v>283.8255554800823</v>
      </c>
      <c r="N17" s="14">
        <f t="shared" si="8"/>
        <v>282.12669969837253</v>
      </c>
      <c r="O17" s="14">
        <f t="shared" si="8"/>
        <v>279.37472383400973</v>
      </c>
      <c r="P17" s="14">
        <f t="shared" si="8"/>
        <v>274.38532146861127</v>
      </c>
      <c r="Q17" s="14">
        <f t="shared" si="8"/>
        <v>199.75551807961088</v>
      </c>
    </row>
    <row r="18" spans="6:19" x14ac:dyDescent="0.25">
      <c r="F18" s="9" t="s">
        <v>17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 x14ac:dyDescent="0.25">
      <c r="F19" s="9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19" x14ac:dyDescent="0.25">
      <c r="F20" s="9" t="s">
        <v>23</v>
      </c>
      <c r="G20" s="9">
        <f>1-((($C$6-1)/($C$6+1))*G21^2)</f>
        <v>0.99671303011728174</v>
      </c>
      <c r="H20" s="9">
        <f t="shared" ref="H20:Q20" si="11">1-((($C$6-1)/($C$6+1))*H21^2)</f>
        <v>0.99597511360808921</v>
      </c>
      <c r="I20" s="9">
        <f t="shared" si="11"/>
        <v>0.99502489977703212</v>
      </c>
      <c r="J20" s="9">
        <f t="shared" si="11"/>
        <v>0.99377646509452411</v>
      </c>
      <c r="K20" s="9">
        <f t="shared" si="11"/>
        <v>0.99211224037940104</v>
      </c>
      <c r="L20" s="9">
        <f t="shared" si="11"/>
        <v>0.98985832374993499</v>
      </c>
      <c r="M20" s="9">
        <f t="shared" si="11"/>
        <v>0.98675172838748226</v>
      </c>
      <c r="N20" s="9">
        <f t="shared" si="11"/>
        <v>0.98238248075144408</v>
      </c>
      <c r="O20" s="9">
        <f t="shared" si="11"/>
        <v>0.9760767829084267</v>
      </c>
      <c r="P20" s="9">
        <f t="shared" si="11"/>
        <v>0.96657707554561456</v>
      </c>
      <c r="Q20" s="9">
        <f t="shared" si="11"/>
        <v>0.9184310555788946</v>
      </c>
    </row>
    <row r="21" spans="6:19" x14ac:dyDescent="0.25">
      <c r="F21" s="9" t="s">
        <v>24</v>
      </c>
      <c r="G21" s="9">
        <f>SQRT(((($C$6+1)/2)*G19^2)/(1+2*G19^2))</f>
        <v>0.14043439499036495</v>
      </c>
      <c r="H21" s="9">
        <f>SQRT(((($C$6+1)/2)*H19^2)/(1+2*H19^2))</f>
        <v>0.15540050949551171</v>
      </c>
      <c r="I21" s="9">
        <f t="shared" ref="I21:Q21" si="12">SQRT(((($C$6+1)/2)*I19^2)/(1+2*I19^2))</f>
        <v>0.17277326569179402</v>
      </c>
      <c r="J21" s="9">
        <f t="shared" si="12"/>
        <v>0.19323873688485746</v>
      </c>
      <c r="K21" s="9">
        <f t="shared" si="12"/>
        <v>0.21754667941293379</v>
      </c>
      <c r="L21" s="9">
        <f t="shared" si="12"/>
        <v>0.24667804422037701</v>
      </c>
      <c r="M21" s="9">
        <f t="shared" si="12"/>
        <v>0.28193905312160311</v>
      </c>
      <c r="N21" s="9">
        <f t="shared" si="12"/>
        <v>0.32512323123907294</v>
      </c>
      <c r="O21" s="9">
        <f t="shared" si="12"/>
        <v>0.37886581074232623</v>
      </c>
      <c r="P21" s="9">
        <f t="shared" si="12"/>
        <v>0.4478141877233377</v>
      </c>
      <c r="Q21" s="9">
        <f t="shared" si="12"/>
        <v>0.69958106501436468</v>
      </c>
    </row>
    <row r="22" spans="6:19" x14ac:dyDescent="0.25">
      <c r="F22" s="9" t="s">
        <v>25</v>
      </c>
      <c r="G22" s="9">
        <f>(1-((($C$6-1)/($C$6+1))*G21^2))^($C$6/($C$6-1))</f>
        <v>0.9885427960059292</v>
      </c>
      <c r="H22" s="9">
        <f t="shared" ref="H22:Q22" si="13">(1-((($C$6-1)/($C$6+1))*H21^2))^($C$6/($C$6-1))</f>
        <v>0.98598362880403378</v>
      </c>
      <c r="I22" s="9">
        <f t="shared" si="13"/>
        <v>0.98269516836177517</v>
      </c>
      <c r="J22" s="9">
        <f t="shared" si="13"/>
        <v>0.97838655513115991</v>
      </c>
      <c r="K22" s="9">
        <f t="shared" si="13"/>
        <v>0.97266396715912518</v>
      </c>
      <c r="L22" s="9">
        <f t="shared" si="13"/>
        <v>0.96495183870945589</v>
      </c>
      <c r="M22" s="9">
        <f t="shared" si="13"/>
        <v>0.95439385677830646</v>
      </c>
      <c r="N22" s="9">
        <f t="shared" si="13"/>
        <v>0.93968464691644049</v>
      </c>
      <c r="O22" s="9">
        <f t="shared" si="13"/>
        <v>0.91874278065402615</v>
      </c>
      <c r="P22" s="9">
        <f t="shared" si="13"/>
        <v>0.88782571020734091</v>
      </c>
      <c r="Q22" s="9">
        <f t="shared" si="13"/>
        <v>0.74244273422226659</v>
      </c>
    </row>
    <row r="23" spans="6:19" x14ac:dyDescent="0.25">
      <c r="F23" s="9" t="s">
        <v>11</v>
      </c>
      <c r="G23" s="9">
        <f>G14/G22</f>
        <v>349894.36730054737</v>
      </c>
      <c r="H23" s="9">
        <f t="shared" ref="H23:Q23" si="14">H14/H22</f>
        <v>349782.02415496617</v>
      </c>
      <c r="I23" s="9">
        <f t="shared" si="14"/>
        <v>349613.00839204341</v>
      </c>
      <c r="J23" s="9">
        <f t="shared" si="14"/>
        <v>349348.23754016554</v>
      </c>
      <c r="K23" s="9">
        <f t="shared" si="14"/>
        <v>348918.54037001246</v>
      </c>
      <c r="L23" s="9">
        <f t="shared" si="14"/>
        <v>348192.00870682509</v>
      </c>
      <c r="M23" s="9">
        <f t="shared" si="14"/>
        <v>346902.53531441628</v>
      </c>
      <c r="N23" s="9">
        <f t="shared" si="14"/>
        <v>344473.44009168324</v>
      </c>
      <c r="O23" s="9">
        <f t="shared" si="14"/>
        <v>339522.83917674847</v>
      </c>
      <c r="P23" s="9">
        <f t="shared" si="14"/>
        <v>328124.5397425844</v>
      </c>
      <c r="Q23" s="9">
        <f t="shared" si="14"/>
        <v>136475.17219781442</v>
      </c>
      <c r="S23" s="19"/>
    </row>
    <row r="30" spans="6:19" x14ac:dyDescent="0.25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drov">
                <anchor moveWithCells="1" sizeWithCells="1">
                  <from>
                    <xdr:col>0</xdr:col>
                    <xdr:colOff>400050</xdr:colOff>
                    <xdr:row>17</xdr:row>
                    <xdr:rowOff>38100</xdr:rowOff>
                  </from>
                  <to>
                    <xdr:col>4</xdr:col>
                    <xdr:colOff>85725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const_p_135</vt:lpstr>
      <vt:lpstr>var_p_135</vt:lpstr>
      <vt:lpstr>const_p_105</vt:lpstr>
      <vt:lpstr>var_p_105</vt:lpstr>
      <vt:lpstr>M=1,5(const)</vt:lpstr>
      <vt:lpstr>M=1,5(var)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Александр Бодров</cp:lastModifiedBy>
  <dcterms:created xsi:type="dcterms:W3CDTF">2021-05-20T20:13:54Z</dcterms:created>
  <dcterms:modified xsi:type="dcterms:W3CDTF">2021-05-23T09:16:14Z</dcterms:modified>
</cp:coreProperties>
</file>