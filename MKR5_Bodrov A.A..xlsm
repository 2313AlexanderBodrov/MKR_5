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odro\Desktop\"/>
    </mc:Choice>
  </mc:AlternateContent>
  <xr:revisionPtr revIDLastSave="0" documentId="13_ncr:1_{AD54A262-00B8-4AB3-BA0D-4C05CDBA523A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const_p_135" sheetId="1" r:id="rId1"/>
    <sheet name="var_p_135" sheetId="2" r:id="rId2"/>
    <sheet name="const_p_105" sheetId="3" r:id="rId3"/>
    <sheet name="var_p_105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2" l="1"/>
  <c r="I15" i="2"/>
  <c r="J15" i="2"/>
  <c r="K15" i="2"/>
  <c r="L15" i="2"/>
  <c r="M15" i="2"/>
  <c r="N15" i="2"/>
  <c r="O15" i="2"/>
  <c r="P15" i="2"/>
  <c r="Q15" i="2"/>
  <c r="G14" i="2"/>
  <c r="Q14" i="4"/>
  <c r="Q13" i="4"/>
  <c r="Q17" i="4" s="1"/>
  <c r="P13" i="4"/>
  <c r="P17" i="4" s="1"/>
  <c r="P18" i="4" s="1"/>
  <c r="P19" i="4" s="1"/>
  <c r="P21" i="4" s="1"/>
  <c r="O13" i="4"/>
  <c r="O17" i="4" s="1"/>
  <c r="O18" i="4" s="1"/>
  <c r="O19" i="4" s="1"/>
  <c r="O21" i="4" s="1"/>
  <c r="N13" i="4"/>
  <c r="M13" i="4"/>
  <c r="M17" i="4" s="1"/>
  <c r="M18" i="4" s="1"/>
  <c r="L13" i="4"/>
  <c r="L17" i="4" s="1"/>
  <c r="L18" i="4" s="1"/>
  <c r="K13" i="4"/>
  <c r="K17" i="4" s="1"/>
  <c r="K18" i="4" s="1"/>
  <c r="J13" i="4"/>
  <c r="J17" i="4" s="1"/>
  <c r="J18" i="4" s="1"/>
  <c r="I13" i="4"/>
  <c r="I17" i="4" s="1"/>
  <c r="I18" i="4" s="1"/>
  <c r="H13" i="4"/>
  <c r="H17" i="4" s="1"/>
  <c r="H18" i="4" s="1"/>
  <c r="H19" i="4" s="1"/>
  <c r="H21" i="4" s="1"/>
  <c r="Q4" i="4"/>
  <c r="Q10" i="4" s="1"/>
  <c r="G4" i="4"/>
  <c r="C4" i="4"/>
  <c r="H2" i="4" s="1"/>
  <c r="I2" i="4" s="1"/>
  <c r="J2" i="4" s="1"/>
  <c r="K2" i="4" s="1"/>
  <c r="L2" i="4" s="1"/>
  <c r="M2" i="4" s="1"/>
  <c r="N2" i="4" s="1"/>
  <c r="O2" i="4" s="1"/>
  <c r="P2" i="4" s="1"/>
  <c r="Q2" i="4" s="1"/>
  <c r="H3" i="4"/>
  <c r="I3" i="4" s="1"/>
  <c r="Q14" i="3"/>
  <c r="Q13" i="3"/>
  <c r="Q17" i="3" s="1"/>
  <c r="Q18" i="3" s="1"/>
  <c r="P13" i="3"/>
  <c r="P17" i="3" s="1"/>
  <c r="P18" i="3" s="1"/>
  <c r="O13" i="3"/>
  <c r="O17" i="3" s="1"/>
  <c r="O18" i="3" s="1"/>
  <c r="N13" i="3"/>
  <c r="N17" i="3" s="1"/>
  <c r="N18" i="3" s="1"/>
  <c r="M13" i="3"/>
  <c r="M17" i="3" s="1"/>
  <c r="M18" i="3" s="1"/>
  <c r="L13" i="3"/>
  <c r="L17" i="3" s="1"/>
  <c r="L18" i="3" s="1"/>
  <c r="L19" i="3" s="1"/>
  <c r="K13" i="3"/>
  <c r="K17" i="3" s="1"/>
  <c r="K18" i="3" s="1"/>
  <c r="K19" i="3" s="1"/>
  <c r="J13" i="3"/>
  <c r="J17" i="3" s="1"/>
  <c r="J18" i="3" s="1"/>
  <c r="J19" i="3" s="1"/>
  <c r="I13" i="3"/>
  <c r="H13" i="3"/>
  <c r="H17" i="3" s="1"/>
  <c r="H18" i="3" s="1"/>
  <c r="Q4" i="3"/>
  <c r="G4" i="3"/>
  <c r="C4" i="3"/>
  <c r="H2" i="3" s="1"/>
  <c r="I2" i="3" s="1"/>
  <c r="J2" i="3" s="1"/>
  <c r="K2" i="3" s="1"/>
  <c r="L2" i="3" s="1"/>
  <c r="M2" i="3" s="1"/>
  <c r="N2" i="3" s="1"/>
  <c r="O2" i="3" s="1"/>
  <c r="P2" i="3" s="1"/>
  <c r="Q2" i="3" s="1"/>
  <c r="H3" i="3"/>
  <c r="H4" i="3" s="1"/>
  <c r="H18" i="2"/>
  <c r="P17" i="2"/>
  <c r="P18" i="2" s="1"/>
  <c r="M17" i="2"/>
  <c r="M18" i="2" s="1"/>
  <c r="M19" i="2" s="1"/>
  <c r="M21" i="2" s="1"/>
  <c r="K17" i="2"/>
  <c r="K18" i="2" s="1"/>
  <c r="H17" i="2"/>
  <c r="Q14" i="2"/>
  <c r="Q13" i="2"/>
  <c r="Q17" i="2" s="1"/>
  <c r="Q18" i="2" s="1"/>
  <c r="P13" i="2"/>
  <c r="P19" i="2" s="1"/>
  <c r="P21" i="2" s="1"/>
  <c r="O13" i="2"/>
  <c r="O17" i="2" s="1"/>
  <c r="O18" i="2" s="1"/>
  <c r="O19" i="2" s="1"/>
  <c r="O21" i="2" s="1"/>
  <c r="N13" i="2"/>
  <c r="N17" i="2" s="1"/>
  <c r="N18" i="2" s="1"/>
  <c r="M13" i="2"/>
  <c r="L13" i="2"/>
  <c r="K13" i="2"/>
  <c r="J13" i="2"/>
  <c r="J17" i="2" s="1"/>
  <c r="J18" i="2" s="1"/>
  <c r="J19" i="2" s="1"/>
  <c r="J21" i="2" s="1"/>
  <c r="I13" i="2"/>
  <c r="I17" i="2" s="1"/>
  <c r="I18" i="2" s="1"/>
  <c r="H13" i="2"/>
  <c r="H19" i="2" s="1"/>
  <c r="H21" i="2" s="1"/>
  <c r="Q4" i="2"/>
  <c r="Q10" i="2" s="1"/>
  <c r="G4" i="2"/>
  <c r="C4" i="2"/>
  <c r="H3" i="2"/>
  <c r="H4" i="2" s="1"/>
  <c r="H2" i="2"/>
  <c r="I2" i="2" s="1"/>
  <c r="J2" i="2" s="1"/>
  <c r="K2" i="2" s="1"/>
  <c r="L2" i="2" s="1"/>
  <c r="M2" i="2" s="1"/>
  <c r="N2" i="2" s="1"/>
  <c r="O2" i="2" s="1"/>
  <c r="P2" i="2" s="1"/>
  <c r="Q2" i="2" s="1"/>
  <c r="L19" i="4" l="1"/>
  <c r="L21" i="4" s="1"/>
  <c r="L22" i="4" s="1"/>
  <c r="Q10" i="3"/>
  <c r="Q19" i="3"/>
  <c r="I17" i="3"/>
  <c r="I18" i="3" s="1"/>
  <c r="I19" i="3" s="1"/>
  <c r="M19" i="4"/>
  <c r="M21" i="4" s="1"/>
  <c r="O20" i="4"/>
  <c r="O22" i="4"/>
  <c r="Q15" i="4"/>
  <c r="Q18" i="4"/>
  <c r="Q19" i="4" s="1"/>
  <c r="Q21" i="4" s="1"/>
  <c r="P20" i="4"/>
  <c r="P22" i="4"/>
  <c r="I4" i="4"/>
  <c r="I10" i="4" s="1"/>
  <c r="J3" i="4"/>
  <c r="H20" i="4"/>
  <c r="H22" i="4"/>
  <c r="N17" i="4"/>
  <c r="N18" i="4" s="1"/>
  <c r="N19" i="4" s="1"/>
  <c r="N21" i="4" s="1"/>
  <c r="I19" i="4"/>
  <c r="I21" i="4" s="1"/>
  <c r="H4" i="4"/>
  <c r="J19" i="4"/>
  <c r="J21" i="4" s="1"/>
  <c r="K19" i="4"/>
  <c r="K21" i="4" s="1"/>
  <c r="H10" i="3"/>
  <c r="G13" i="3"/>
  <c r="H19" i="3"/>
  <c r="P19" i="3"/>
  <c r="I3" i="3"/>
  <c r="M19" i="3"/>
  <c r="N19" i="3"/>
  <c r="O19" i="3"/>
  <c r="J22" i="2"/>
  <c r="J20" i="2"/>
  <c r="P20" i="2"/>
  <c r="P22" i="2"/>
  <c r="K19" i="2"/>
  <c r="K21" i="2" s="1"/>
  <c r="G13" i="2"/>
  <c r="G10" i="2" s="1"/>
  <c r="H10" i="2"/>
  <c r="M20" i="2"/>
  <c r="M22" i="2"/>
  <c r="H20" i="2"/>
  <c r="H22" i="2"/>
  <c r="O20" i="2"/>
  <c r="O22" i="2"/>
  <c r="L17" i="2"/>
  <c r="L18" i="2" s="1"/>
  <c r="L19" i="2" s="1"/>
  <c r="L21" i="2" s="1"/>
  <c r="N19" i="2"/>
  <c r="N21" i="2" s="1"/>
  <c r="I3" i="2"/>
  <c r="I19" i="2"/>
  <c r="I21" i="2" s="1"/>
  <c r="Q19" i="2"/>
  <c r="Q21" i="2" s="1"/>
  <c r="L20" i="4" l="1"/>
  <c r="Q20" i="4"/>
  <c r="Q22" i="4"/>
  <c r="Q23" i="4" s="1"/>
  <c r="N20" i="4"/>
  <c r="N22" i="4"/>
  <c r="J20" i="4"/>
  <c r="J22" i="4"/>
  <c r="M20" i="4"/>
  <c r="M22" i="4"/>
  <c r="H10" i="4"/>
  <c r="H11" i="4" s="1"/>
  <c r="H14" i="4" s="1"/>
  <c r="G13" i="4"/>
  <c r="J4" i="4"/>
  <c r="J10" i="4" s="1"/>
  <c r="I11" i="4" s="1"/>
  <c r="I14" i="4" s="1"/>
  <c r="K3" i="4"/>
  <c r="K22" i="4"/>
  <c r="K20" i="4"/>
  <c r="I20" i="4"/>
  <c r="I22" i="4"/>
  <c r="I4" i="3"/>
  <c r="I10" i="3" s="1"/>
  <c r="H11" i="3" s="1"/>
  <c r="H14" i="3" s="1"/>
  <c r="J3" i="3"/>
  <c r="G17" i="3"/>
  <c r="G18" i="3" s="1"/>
  <c r="G19" i="3" s="1"/>
  <c r="G14" i="3"/>
  <c r="G10" i="3"/>
  <c r="L20" i="2"/>
  <c r="L22" i="2"/>
  <c r="I20" i="2"/>
  <c r="I22" i="2"/>
  <c r="K22" i="2"/>
  <c r="K20" i="2"/>
  <c r="N20" i="2"/>
  <c r="N22" i="2"/>
  <c r="Q20" i="2"/>
  <c r="Q22" i="2"/>
  <c r="Q23" i="2" s="1"/>
  <c r="G17" i="2"/>
  <c r="G18" i="2" s="1"/>
  <c r="G19" i="2"/>
  <c r="G21" i="2" s="1"/>
  <c r="I4" i="2"/>
  <c r="I10" i="2" s="1"/>
  <c r="J3" i="2"/>
  <c r="K4" i="4" l="1"/>
  <c r="K10" i="4" s="1"/>
  <c r="L3" i="4"/>
  <c r="G14" i="4"/>
  <c r="G17" i="4"/>
  <c r="G18" i="4" s="1"/>
  <c r="G19" i="4" s="1"/>
  <c r="G21" i="4" s="1"/>
  <c r="G10" i="4"/>
  <c r="I23" i="4"/>
  <c r="I15" i="4"/>
  <c r="H23" i="4"/>
  <c r="H15" i="4"/>
  <c r="J4" i="3"/>
  <c r="J10" i="3" s="1"/>
  <c r="I11" i="3" s="1"/>
  <c r="I14" i="3" s="1"/>
  <c r="K3" i="3"/>
  <c r="G20" i="2"/>
  <c r="G22" i="2"/>
  <c r="J4" i="2"/>
  <c r="J10" i="2" s="1"/>
  <c r="I11" i="2" s="1"/>
  <c r="I14" i="2" s="1"/>
  <c r="K3" i="2"/>
  <c r="H11" i="2"/>
  <c r="H14" i="2" s="1"/>
  <c r="G22" i="4" l="1"/>
  <c r="G23" i="4" s="1"/>
  <c r="G20" i="4"/>
  <c r="G15" i="4"/>
  <c r="M3" i="4"/>
  <c r="L4" i="4"/>
  <c r="L10" i="4" s="1"/>
  <c r="J11" i="4"/>
  <c r="J14" i="4" s="1"/>
  <c r="K4" i="3"/>
  <c r="K10" i="3" s="1"/>
  <c r="J11" i="3" s="1"/>
  <c r="J14" i="3" s="1"/>
  <c r="L3" i="3"/>
  <c r="I23" i="2"/>
  <c r="H23" i="2"/>
  <c r="L3" i="2"/>
  <c r="K4" i="2"/>
  <c r="K10" i="2" s="1"/>
  <c r="J15" i="4" l="1"/>
  <c r="J23" i="4"/>
  <c r="N3" i="4"/>
  <c r="M4" i="4"/>
  <c r="M10" i="4" s="1"/>
  <c r="L11" i="4" s="1"/>
  <c r="L14" i="4" s="1"/>
  <c r="K11" i="4"/>
  <c r="K14" i="4" s="1"/>
  <c r="L4" i="3"/>
  <c r="L10" i="3" s="1"/>
  <c r="M3" i="3"/>
  <c r="J11" i="2"/>
  <c r="J14" i="2" s="1"/>
  <c r="M3" i="2"/>
  <c r="L4" i="2"/>
  <c r="L10" i="2" s="1"/>
  <c r="L15" i="4" l="1"/>
  <c r="L23" i="4"/>
  <c r="K23" i="4"/>
  <c r="K15" i="4"/>
  <c r="N4" i="4"/>
  <c r="N10" i="4" s="1"/>
  <c r="O3" i="4"/>
  <c r="K11" i="3"/>
  <c r="K14" i="3" s="1"/>
  <c r="M4" i="3"/>
  <c r="M10" i="3" s="1"/>
  <c r="N3" i="3"/>
  <c r="N3" i="2"/>
  <c r="M4" i="2"/>
  <c r="M10" i="2" s="1"/>
  <c r="J23" i="2"/>
  <c r="K11" i="2"/>
  <c r="K14" i="2" s="1"/>
  <c r="P3" i="4" l="1"/>
  <c r="P4" i="4" s="1"/>
  <c r="P10" i="4" s="1"/>
  <c r="P11" i="4" s="1"/>
  <c r="P14" i="4" s="1"/>
  <c r="O4" i="4"/>
  <c r="O10" i="4" s="1"/>
  <c r="O11" i="4" s="1"/>
  <c r="O14" i="4" s="1"/>
  <c r="M11" i="4"/>
  <c r="M14" i="4" s="1"/>
  <c r="O3" i="3"/>
  <c r="N4" i="3"/>
  <c r="N10" i="3" s="1"/>
  <c r="L11" i="3"/>
  <c r="L14" i="3" s="1"/>
  <c r="K23" i="2"/>
  <c r="N4" i="2"/>
  <c r="N10" i="2" s="1"/>
  <c r="O3" i="2"/>
  <c r="L11" i="2"/>
  <c r="L14" i="2" s="1"/>
  <c r="M15" i="4" l="1"/>
  <c r="M23" i="4"/>
  <c r="N11" i="4"/>
  <c r="N14" i="4" s="1"/>
  <c r="O23" i="4"/>
  <c r="O15" i="4"/>
  <c r="P23" i="4"/>
  <c r="P15" i="4"/>
  <c r="P3" i="3"/>
  <c r="P4" i="3" s="1"/>
  <c r="P10" i="3" s="1"/>
  <c r="P11" i="3" s="1"/>
  <c r="P14" i="3" s="1"/>
  <c r="O4" i="3"/>
  <c r="O10" i="3" s="1"/>
  <c r="M11" i="3"/>
  <c r="M14" i="3" s="1"/>
  <c r="N11" i="2"/>
  <c r="N14" i="2" s="1"/>
  <c r="L23" i="2"/>
  <c r="M11" i="2"/>
  <c r="M14" i="2" s="1"/>
  <c r="O4" i="2"/>
  <c r="O10" i="2" s="1"/>
  <c r="P3" i="2"/>
  <c r="P4" i="2" s="1"/>
  <c r="P10" i="2" s="1"/>
  <c r="P11" i="2" s="1"/>
  <c r="P14" i="2" s="1"/>
  <c r="O11" i="3" l="1"/>
  <c r="O14" i="3" s="1"/>
  <c r="N15" i="4"/>
  <c r="N23" i="4"/>
  <c r="N11" i="3"/>
  <c r="N14" i="3" s="1"/>
  <c r="P23" i="2"/>
  <c r="N23" i="2"/>
  <c r="M23" i="2"/>
  <c r="O11" i="2"/>
  <c r="O14" i="2" s="1"/>
  <c r="O23" i="2" l="1"/>
  <c r="H11" i="1" l="1"/>
  <c r="H4" i="1"/>
  <c r="G13" i="1" s="1"/>
  <c r="G14" i="1" s="1"/>
  <c r="I4" i="1"/>
  <c r="J4" i="1"/>
  <c r="K4" i="1"/>
  <c r="L4" i="1"/>
  <c r="M4" i="1"/>
  <c r="N4" i="1"/>
  <c r="O4" i="1"/>
  <c r="P4" i="1"/>
  <c r="Q4" i="1"/>
  <c r="H13" i="1"/>
  <c r="H10" i="1" s="1"/>
  <c r="H15" i="1"/>
  <c r="I15" i="1"/>
  <c r="J15" i="1"/>
  <c r="K15" i="1"/>
  <c r="L15" i="1"/>
  <c r="M15" i="1"/>
  <c r="N15" i="1"/>
  <c r="O15" i="1"/>
  <c r="P15" i="1"/>
  <c r="Q15" i="1"/>
  <c r="G15" i="1"/>
  <c r="G4" i="1"/>
  <c r="I3" i="1"/>
  <c r="H3" i="1"/>
  <c r="I2" i="1"/>
  <c r="J2" i="1"/>
  <c r="K2" i="1" s="1"/>
  <c r="L2" i="1" s="1"/>
  <c r="M2" i="1" s="1"/>
  <c r="N2" i="1" s="1"/>
  <c r="O2" i="1" s="1"/>
  <c r="P2" i="1" s="1"/>
  <c r="Q2" i="1" s="1"/>
  <c r="H2" i="1"/>
  <c r="C4" i="1"/>
  <c r="Q14" i="1"/>
  <c r="Q13" i="1"/>
  <c r="Q17" i="1" s="1"/>
  <c r="Q18" i="1" s="1"/>
  <c r="P13" i="1"/>
  <c r="O13" i="1"/>
  <c r="O10" i="1" s="1"/>
  <c r="N13" i="1"/>
  <c r="N17" i="1" s="1"/>
  <c r="N18" i="1" s="1"/>
  <c r="N19" i="1" s="1"/>
  <c r="M13" i="1"/>
  <c r="M17" i="1" s="1"/>
  <c r="M18" i="1" s="1"/>
  <c r="L13" i="1"/>
  <c r="L17" i="1" s="1"/>
  <c r="L18" i="1" s="1"/>
  <c r="K13" i="1"/>
  <c r="K17" i="1" s="1"/>
  <c r="K18" i="1" s="1"/>
  <c r="J13" i="1"/>
  <c r="J17" i="1" s="1"/>
  <c r="J18" i="1" s="1"/>
  <c r="J19" i="1" s="1"/>
  <c r="I13" i="1"/>
  <c r="I17" i="1" s="1"/>
  <c r="I18" i="1" s="1"/>
  <c r="I19" i="1" s="1"/>
  <c r="N10" i="1" l="1"/>
  <c r="N11" i="1" s="1"/>
  <c r="M10" i="1"/>
  <c r="Q10" i="1"/>
  <c r="I10" i="1"/>
  <c r="M19" i="1"/>
  <c r="P10" i="1"/>
  <c r="O11" i="1" s="1"/>
  <c r="L19" i="1"/>
  <c r="K19" i="1"/>
  <c r="L10" i="1"/>
  <c r="Q19" i="1"/>
  <c r="K10" i="1"/>
  <c r="J10" i="1"/>
  <c r="G10" i="1"/>
  <c r="J3" i="1"/>
  <c r="O17" i="1"/>
  <c r="O18" i="1" s="1"/>
  <c r="O19" i="1" s="1"/>
  <c r="H17" i="1"/>
  <c r="H18" i="1" s="1"/>
  <c r="H19" i="1" s="1"/>
  <c r="P17" i="1"/>
  <c r="P18" i="1" s="1"/>
  <c r="P19" i="1" s="1"/>
  <c r="M11" i="1" l="1"/>
  <c r="L11" i="1"/>
  <c r="K11" i="1"/>
  <c r="P11" i="1"/>
  <c r="J11" i="1"/>
  <c r="I11" i="1"/>
  <c r="I14" i="1" s="1"/>
  <c r="G17" i="1"/>
  <c r="G18" i="1" s="1"/>
  <c r="G19" i="1" s="1"/>
  <c r="K3" i="1"/>
  <c r="H14" i="1"/>
  <c r="J14" i="1" l="1"/>
  <c r="L3" i="1"/>
  <c r="M3" i="1" l="1"/>
  <c r="K14" i="1" l="1"/>
  <c r="N3" i="1"/>
  <c r="O3" i="1" l="1"/>
  <c r="L14" i="1"/>
  <c r="N14" i="1" l="1"/>
  <c r="P3" i="1"/>
  <c r="P14" i="1" s="1"/>
  <c r="M14" i="1"/>
  <c r="O14" i="1" l="1"/>
  <c r="G15" i="2"/>
  <c r="G23" i="2"/>
</calcChain>
</file>

<file path=xl/sharedStrings.xml><?xml version="1.0" encoding="utf-8"?>
<sst xmlns="http://schemas.openxmlformats.org/spreadsheetml/2006/main" count="114" uniqueCount="26">
  <si>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</si>
  <si>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</si>
  <si>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</si>
  <si>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</si>
  <si>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</si>
  <si>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</si>
  <si>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</si>
  <si>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</si>
  <si>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</si>
  <si>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</si>
  <si>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</si>
  <si>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</si>
  <si>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</si>
  <si>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</si>
  <si>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</si>
  <si>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</si>
  <si>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>T</t>
  </si>
  <si>
    <t>c</t>
  </si>
  <si>
    <t>M</t>
  </si>
  <si>
    <t xml:space="preserve"> </t>
  </si>
  <si>
    <t>U_3D</t>
  </si>
  <si>
    <t>p_3D</t>
  </si>
  <si>
    <t>G_3D</t>
  </si>
  <si>
    <t>Tau_lam</t>
  </si>
  <si>
    <t>lamda</t>
  </si>
  <si>
    <t>Pi_lamda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</si>
</sst>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0" fillId="0" borderId="0" xfId="0" applyNumberFormat="1"/>
    <xf numFmtId="0" fontId="0" fillId="0" borderId="1" xfId="0" applyNumberFormat="1" applyBorder="1"/>
    <xf numFmtId="0" fontId="0" fillId="0" borderId="0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164" fontId="0" fillId="0" borderId="1" xfId="0" applyNumberFormat="1" applyBorder="1"/>
    <xf numFmtId="0" fontId="0" fillId="2" borderId="1" xfId="0" applyFill="1" applyBorder="1"/>
    <xf numFmtId="165" fontId="0" fillId="2" borderId="1" xfId="0" applyNumberFormat="1" applyFill="1" applyBorder="1"/>
    <xf numFmtId="0" fontId="0" fillId="3" borderId="1" xfId="0" applyFill="1" applyBorder="1"/>
    <xf numFmtId="166" fontId="0" fillId="2" borderId="1" xfId="0" applyNumberFormat="1" applyFill="1" applyBorder="1"/>
    <xf numFmtId="0" fontId="0" fillId="4" borderId="1" xfId="0" applyFill="1" applyBorder="1"/>
    <xf numFmtId="2" fontId="0" fillId="2" borderId="1" xfId="0" applyNumberFormat="1" applyFill="1" applyBorder="1"/>
    <xf numFmtId="1" fontId="0" fillId="4" borderId="1" xfId="0" applyNumberFormat="1" applyFill="1" applyBorder="1"/>
    <xf numFmtId="1" fontId="0" fillId="2" borderId="1" xfId="0" applyNumberFormat="1" applyFill="1" applyBorder="1"/>
    <xf numFmtId="164" fontId="0" fillId="2" borderId="1" xfId="0" applyNumberFormat="1" applyFill="1" applyBorder="1"/>
    <xf numFmtId="0" fontId="0" fillId="2" borderId="0" xfId="0" applyFill="1"/>
    <xf numFmtId="0" fontId="0" fillId="2" borderId="2" xfId="0" applyFill="1" applyBorder="1"/>
    <xf numFmtId="0" fontId="0" fillId="3" borderId="1" xfId="0" applyNumberFormat="1" applyFill="1" applyBorder="1"/>
    <xf numFmtId="0" fontId="0" fillId="5" borderId="1" xfId="0" applyNumberFormat="1" applyFill="1" applyBorder="1"/>
    <xf numFmtId="0" fontId="0" fillId="5" borderId="1" xfId="0" applyFill="1" applyBorder="1"/>
    <xf numFmtId="0" fontId="0" fillId="4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1A-4CBD-B2E1-9EF7307BB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const_p_135!$G$10:$Q$10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 formatCode="0.00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B1-4DDB-AFE0-805F7C446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const_p_135!$G$6:$Q$6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EF-41C4-B3AF-B06FA5FE8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const_p_135!$G$5:$Q$5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3E-4423-BA46-2CACB878F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var_p_135!$G$3:$Q$3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6B-4AD6-8C19-1501C1947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4200"/>
        <c:axId val="350364984"/>
      </c:lineChart>
      <c:catAx>
        <c:axId val="35036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4984"/>
        <c:crosses val="autoZero"/>
        <c:auto val="1"/>
        <c:lblAlgn val="ctr"/>
        <c:lblOffset val="100"/>
        <c:noMultiLvlLbl val="0"/>
      </c:catAx>
      <c:valAx>
        <c:axId val="350364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420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93466175292366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var_p_135!$G$10:$Q$10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1C-4BF7-9B90-5C50EEE3F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0672"/>
        <c:axId val="350361064"/>
      </c:lineChart>
      <c:catAx>
        <c:axId val="35036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1064"/>
        <c:crosses val="autoZero"/>
        <c:auto val="1"/>
        <c:lblAlgn val="ctr"/>
        <c:lblOffset val="100"/>
        <c:noMultiLvlLbl val="0"/>
      </c:catAx>
      <c:valAx>
        <c:axId val="35036106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5036067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7460120815893807"/>
          <c:y val="7.49616664514125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var_p_135!$G$14:$Q$14</c:f>
              <c:numCache>
                <c:formatCode>0</c:formatCode>
                <c:ptCount val="11"/>
                <c:pt idx="0">
                  <c:v>133574.22825503966</c:v>
                </c:pt>
                <c:pt idx="1">
                  <c:v>133226.31357547204</c:v>
                </c:pt>
                <c:pt idx="2">
                  <c:v>132771.17449122321</c:v>
                </c:pt>
                <c:pt idx="3">
                  <c:v>132161.66616444036</c:v>
                </c:pt>
                <c:pt idx="4">
                  <c:v>131328.86819216813</c:v>
                </c:pt>
                <c:pt idx="5">
                  <c:v>130163.57592238429</c:v>
                </c:pt>
                <c:pt idx="6">
                  <c:v>128484.85993121493</c:v>
                </c:pt>
                <c:pt idx="7">
                  <c:v>125974.33447040808</c:v>
                </c:pt>
                <c:pt idx="8">
                  <c:v>122019.68731102513</c:v>
                </c:pt>
                <c:pt idx="9">
                  <c:v>115251.05222710465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6-44FF-BD7D-86C1100DB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768"/>
        <c:axId val="350359496"/>
      </c:lineChart>
      <c:catAx>
        <c:axId val="350365768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496"/>
        <c:crosses val="autoZero"/>
        <c:auto val="1"/>
        <c:lblAlgn val="ctr"/>
        <c:lblOffset val="100"/>
        <c:noMultiLvlLbl val="0"/>
      </c:catAx>
      <c:valAx>
        <c:axId val="35035949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036576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var_p_135!$G$13:$Q$13</c:f>
              <c:numCache>
                <c:formatCode>0.00</c:formatCode>
                <c:ptCount val="11"/>
                <c:pt idx="0" formatCode="General">
                  <c:v>41.952134974927866</c:v>
                </c:pt>
                <c:pt idx="1">
                  <c:v>46.572365820758591</c:v>
                </c:pt>
                <c:pt idx="2">
                  <c:v>51.99881482550407</c:v>
                </c:pt>
                <c:pt idx="3">
                  <c:v>58.481548175462336</c:v>
                </c:pt>
                <c:pt idx="4">
                  <c:v>66.327308369234387</c:v>
                </c:pt>
                <c:pt idx="5">
                  <c:v>75.974083898539305</c:v>
                </c:pt>
                <c:pt idx="6">
                  <c:v>88.076208352825077</c:v>
                </c:pt>
                <c:pt idx="7">
                  <c:v>103.67611774994239</c:v>
                </c:pt>
                <c:pt idx="8">
                  <c:v>124.60715436719285</c:v>
                </c:pt>
                <c:pt idx="9">
                  <c:v>154.70201471594376</c:v>
                </c:pt>
                <c:pt idx="10">
                  <c:v>205.86733253631789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6D-41B2-BC0E-EFBD217D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2632"/>
        <c:axId val="350360280"/>
      </c:lineChart>
      <c:catAx>
        <c:axId val="350362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0280"/>
        <c:crosses val="autoZero"/>
        <c:auto val="1"/>
        <c:lblAlgn val="ctr"/>
        <c:lblOffset val="100"/>
        <c:noMultiLvlLbl val="0"/>
      </c:catAx>
      <c:valAx>
        <c:axId val="35036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26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17244377049678E-2"/>
          <c:y val="0.14030587550383999"/>
          <c:w val="0.87068384790668529"/>
          <c:h val="0.76686257000773406"/>
        </c:manualLayout>
      </c:layout>
      <c:lineChart>
        <c:grouping val="stacked"/>
        <c:varyColors val="0"/>
        <c:ser>
          <c:idx val="0"/>
          <c:order val="0"/>
          <c:val>
            <c:numRef>
              <c:f>const_p_105!$G$3:$Q$3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53-4F58-97F5-AE0BB54DA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3416"/>
        <c:axId val="350362240"/>
      </c:lineChart>
      <c:catAx>
        <c:axId val="350363416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2240"/>
        <c:crosses val="autoZero"/>
        <c:auto val="1"/>
        <c:lblAlgn val="ctr"/>
        <c:lblOffset val="100"/>
        <c:noMultiLvlLbl val="0"/>
      </c:catAx>
      <c:valAx>
        <c:axId val="35036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341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452182246933767"/>
          <c:y val="3.988603272790314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0.11842320148539355"/>
          <c:w val="0.70526137357830321"/>
          <c:h val="0.78874504094128528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const_p_105!$G$10:$Q$10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8-4DB5-B610-088716761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376"/>
        <c:axId val="350358320"/>
      </c:lineChart>
      <c:catAx>
        <c:axId val="350365376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8320"/>
        <c:crosses val="autoZero"/>
        <c:auto val="1"/>
        <c:lblAlgn val="ctr"/>
        <c:lblOffset val="100"/>
        <c:noMultiLvlLbl val="0"/>
      </c:catAx>
      <c:valAx>
        <c:axId val="35035832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5036537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883071626123379"/>
          <c:y val="5.2467692952569154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0.12207950483508452"/>
          <c:w val="0.77793501549938471"/>
          <c:h val="0.7850886415151088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const_p_105!$G$14:$Q$14</c:f>
              <c:numCache>
                <c:formatCode>General</c:formatCode>
                <c:ptCount val="11"/>
                <c:pt idx="0" formatCode="0">
                  <c:v>104786.74969160535</c:v>
                </c:pt>
                <c:pt idx="1">
                  <c:v>104735.69568611095</c:v>
                </c:pt>
                <c:pt idx="2">
                  <c:v>104669.06973389479</c:v>
                </c:pt>
                <c:pt idx="3">
                  <c:v>104580.80925216197</c:v>
                </c:pt>
                <c:pt idx="4">
                  <c:v>104461.91108778602</c:v>
                </c:pt>
                <c:pt idx="5">
                  <c:v>104298.68268580665</c:v>
                </c:pt>
                <c:pt idx="6">
                  <c:v>104069.73174424389</c:v>
                </c:pt>
                <c:pt idx="7">
                  <c:v>103740.59722119931</c:v>
                </c:pt>
                <c:pt idx="8">
                  <c:v>103253.77822192019</c:v>
                </c:pt>
                <c:pt idx="9">
                  <c:v>102509.33114768284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A8-4AF8-81A7-B7DCFCFA2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58712"/>
        <c:axId val="350359104"/>
      </c:lineChart>
      <c:catAx>
        <c:axId val="35035871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104"/>
        <c:crosses val="autoZero"/>
        <c:auto val="1"/>
        <c:lblAlgn val="ctr"/>
        <c:lblOffset val="100"/>
        <c:noMultiLvlLbl val="0"/>
      </c:catAx>
      <c:valAx>
        <c:axId val="35035910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035871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90746575345202E-2"/>
          <c:y val="0.11639446171946691"/>
          <c:w val="0.90614185656268886"/>
          <c:h val="0.78341236734850694"/>
        </c:manualLayout>
      </c:layout>
      <c:lineChart>
        <c:grouping val="stacked"/>
        <c:varyColors val="0"/>
        <c:ser>
          <c:idx val="0"/>
          <c:order val="0"/>
          <c:val>
            <c:numRef>
              <c:f>const_p_105!$G$13:$Q$13</c:f>
              <c:numCache>
                <c:formatCode>0.00</c:formatCode>
                <c:ptCount val="11"/>
                <c:pt idx="0" formatCode="General">
                  <c:v>18.971455724631262</c:v>
                </c:pt>
                <c:pt idx="1">
                  <c:v>21.021003515972847</c:v>
                </c:pt>
                <c:pt idx="2">
                  <c:v>23.421546709326705</c:v>
                </c:pt>
                <c:pt idx="3">
                  <c:v>26.258062924428092</c:v>
                </c:pt>
                <c:pt idx="4">
                  <c:v>29.642888449763046</c:v>
                </c:pt>
                <c:pt idx="5">
                  <c:v>33.727017403258657</c:v>
                </c:pt>
                <c:pt idx="6">
                  <c:v>38.717237726899626</c:v>
                </c:pt>
                <c:pt idx="7">
                  <c:v>44.902831069280374</c:v>
                </c:pt>
                <c:pt idx="8">
                  <c:v>52.698461352696171</c:v>
                </c:pt>
                <c:pt idx="9">
                  <c:v>62.715524639686627</c:v>
                </c:pt>
                <c:pt idx="10">
                  <c:v>75.885785248200023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B1-4B35-80DD-52082F7AF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26496"/>
        <c:axId val="349939728"/>
      </c:lineChart>
      <c:catAx>
        <c:axId val="312626496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9728"/>
        <c:crosses val="autoZero"/>
        <c:auto val="1"/>
        <c:lblAlgn val="ctr"/>
        <c:lblOffset val="100"/>
        <c:noMultiLvlLbl val="0"/>
      </c:catAx>
      <c:valAx>
        <c:axId val="349939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62649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var_p_105!$G$3:$Q$3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C9-42D7-99C4-AF27E5E07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0120"/>
        <c:axId val="349936984"/>
      </c:lineChart>
      <c:catAx>
        <c:axId val="34994012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6984"/>
        <c:crosses val="autoZero"/>
        <c:auto val="1"/>
        <c:lblAlgn val="ctr"/>
        <c:lblOffset val="100"/>
        <c:noMultiLvlLbl val="0"/>
      </c:catAx>
      <c:valAx>
        <c:axId val="349936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4012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62"/>
          <c:y val="0.14735402898257166"/>
          <c:w val="0.70526137357830343"/>
          <c:h val="0.75981428631030357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98-46F2-8634-F28DFA446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2864"/>
        <c:axId val="349942472"/>
      </c:lineChart>
      <c:catAx>
        <c:axId val="349942864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42472"/>
        <c:crosses val="autoZero"/>
        <c:auto val="1"/>
        <c:lblAlgn val="ctr"/>
        <c:lblOffset val="100"/>
        <c:noMultiLvlLbl val="0"/>
      </c:catAx>
      <c:valAx>
        <c:axId val="34994247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994286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67832446364686"/>
          <c:y val="4.00569794503777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0.17922152581434908"/>
          <c:w val="0.75763023190421097"/>
          <c:h val="0.72794647668021895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var_p_105!$G$14:$Q$14</c:f>
              <c:numCache>
                <c:formatCode>0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07-44CE-977C-E7CCCEAA8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36200"/>
        <c:axId val="349938160"/>
      </c:lineChart>
      <c:catAx>
        <c:axId val="349936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8160"/>
        <c:crosses val="autoZero"/>
        <c:auto val="1"/>
        <c:lblAlgn val="ctr"/>
        <c:lblOffset val="100"/>
        <c:noMultiLvlLbl val="0"/>
      </c:catAx>
      <c:valAx>
        <c:axId val="3499381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4993620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533696897268734E-2"/>
          <c:y val="0.13027108842765772"/>
          <c:w val="0.84708651405317503"/>
          <c:h val="0.76807003226885617"/>
        </c:manualLayout>
      </c:layout>
      <c:lineChart>
        <c:grouping val="stacked"/>
        <c:varyColors val="0"/>
        <c:ser>
          <c:idx val="0"/>
          <c:order val="0"/>
          <c:val>
            <c:numRef>
              <c:f>var_p_105!$G$13:$Q$13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76-4DF2-8D85-5680EC6C2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2080"/>
        <c:axId val="349937768"/>
      </c:lineChart>
      <c:catAx>
        <c:axId val="34994208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7768"/>
        <c:crosses val="autoZero"/>
        <c:auto val="1"/>
        <c:lblAlgn val="ctr"/>
        <c:lblOffset val="100"/>
        <c:noMultiLvlLbl val="0"/>
      </c:catAx>
      <c:valAx>
        <c:axId val="349937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4208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1C8CD175-B31B-4F14-AF5F-53C4F549D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283A3734-24EA-490A-9BEA-352ED59004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3C1437-2174-4C27-BA45-51CE4E16A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910EBEF-C1C0-4585-B18D-61D097CC75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0.3298</cdr:x>
      <cdr:y>0</cdr:y>
    </cdr:from>
    <cdr:to>
      <cdr:x>0.66227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4F45DE17-8C1E-45F4-B139-35D774953C8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270000" y="0"/>
          <a:ext cx="128027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0.41523</cdr:x>
      <cdr:y>0</cdr:y>
    </cdr:from>
    <cdr:to>
      <cdr:x>0.60325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833107C-1985-40CD-B90A-D86239A6849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127250" y="0"/>
          <a:ext cx="96325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219934</xdr:colOff>
      <xdr:row>25</xdr:row>
      <xdr:rowOff>95251</xdr:rowOff>
    </xdr:from>
    <xdr:to>
      <xdr:col>9</xdr:col>
      <xdr:colOff>0</xdr:colOff>
      <xdr:row>41</xdr:row>
      <xdr:rowOff>13149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89400F1-6427-401C-A713-4823D322D0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224490</xdr:colOff>
      <xdr:row>41</xdr:row>
      <xdr:rowOff>129615</xdr:rowOff>
    </xdr:from>
    <xdr:to>
      <xdr:col>9</xdr:col>
      <xdr:colOff>0</xdr:colOff>
      <xdr:row>60</xdr:row>
      <xdr:rowOff>158750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28615C8-D0BC-4DAF-B827-C81DA0EF7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158750</xdr:colOff>
      <xdr:row>25</xdr:row>
      <xdr:rowOff>72466</xdr:rowOff>
    </xdr:from>
    <xdr:to>
      <xdr:col>17</xdr:col>
      <xdr:colOff>444500</xdr:colOff>
      <xdr:row>40</xdr:row>
      <xdr:rowOff>158750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4EBBD05A-59B9-4E4E-B988-86E1153B3E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139326</xdr:colOff>
      <xdr:row>41</xdr:row>
      <xdr:rowOff>131110</xdr:rowOff>
    </xdr:from>
    <xdr:to>
      <xdr:col>17</xdr:col>
      <xdr:colOff>444499</xdr:colOff>
      <xdr:row>60</xdr:row>
      <xdr:rowOff>158750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B8FD7276-D145-48DD-B1DF-13AF48EC1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238077</xdr:colOff>
      <xdr:row>20</xdr:row>
      <xdr:rowOff>49432</xdr:rowOff>
    </xdr:from>
    <xdr:to>
      <xdr:col>8</xdr:col>
      <xdr:colOff>367393</xdr:colOff>
      <xdr:row>35</xdr:row>
      <xdr:rowOff>136071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FC2F6A7-9EC5-443A-BB3E-B27893F687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219955</xdr:colOff>
      <xdr:row>36</xdr:row>
      <xdr:rowOff>27214</xdr:rowOff>
    </xdr:from>
    <xdr:to>
      <xdr:col>8</xdr:col>
      <xdr:colOff>340179</xdr:colOff>
      <xdr:row>52</xdr:row>
      <xdr:rowOff>163286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53F0BCB2-3C68-41C9-8F7F-BEB218092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30895</xdr:colOff>
      <xdr:row>20</xdr:row>
      <xdr:rowOff>54429</xdr:rowOff>
    </xdr:from>
    <xdr:to>
      <xdr:col>17</xdr:col>
      <xdr:colOff>136071</xdr:colOff>
      <xdr:row>35</xdr:row>
      <xdr:rowOff>136071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29A64D4D-960C-4D32-A556-521BDEC389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39541</xdr:colOff>
      <xdr:row>36</xdr:row>
      <xdr:rowOff>8645</xdr:rowOff>
    </xdr:from>
    <xdr:to>
      <xdr:col>17</xdr:col>
      <xdr:colOff>136072</xdr:colOff>
      <xdr:row>52</xdr:row>
      <xdr:rowOff>136071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4A6105D-1A71-4869-846A-68B3ECE441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0.33559</cdr:x>
      <cdr:y>0</cdr:y>
    </cdr:from>
    <cdr:to>
      <cdr:x>0.70772</cdr:x>
      <cdr:y>0.15008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23E93D3-34EA-4E2D-8B02-C8C8D3D1FBA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687286" y="0"/>
          <a:ext cx="1871030" cy="441847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0.40317</cdr:x>
      <cdr:y>0</cdr:y>
    </cdr:from>
    <cdr:to>
      <cdr:x>0.63994</cdr:x>
      <cdr:y>0.15551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2ADB7084-93D6-4932-9954-429CD6E67E8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3857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61185</xdr:colOff>
      <xdr:row>24</xdr:row>
      <xdr:rowOff>54429</xdr:rowOff>
    </xdr:from>
    <xdr:to>
      <xdr:col>9</xdr:col>
      <xdr:colOff>217715</xdr:colOff>
      <xdr:row>39</xdr:row>
      <xdr:rowOff>108857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13ED7D86-5291-459B-87CB-57D2AD349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54430</xdr:colOff>
      <xdr:row>39</xdr:row>
      <xdr:rowOff>188579</xdr:rowOff>
    </xdr:from>
    <xdr:to>
      <xdr:col>9</xdr:col>
      <xdr:colOff>217714</xdr:colOff>
      <xdr:row>56</xdr:row>
      <xdr:rowOff>89966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C68A635-577E-47FF-B53E-894BAD627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303038</xdr:colOff>
      <xdr:row>24</xdr:row>
      <xdr:rowOff>54430</xdr:rowOff>
    </xdr:from>
    <xdr:to>
      <xdr:col>17</xdr:col>
      <xdr:colOff>408214</xdr:colOff>
      <xdr:row>39</xdr:row>
      <xdr:rowOff>108857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69F96312-FACA-4DA3-BFA3-C11C238D9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284468</xdr:colOff>
      <xdr:row>39</xdr:row>
      <xdr:rowOff>190499</xdr:rowOff>
    </xdr:from>
    <xdr:to>
      <xdr:col>17</xdr:col>
      <xdr:colOff>408214</xdr:colOff>
      <xdr:row>56</xdr:row>
      <xdr:rowOff>81642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7AABA1CE-42C9-420B-9346-3D0882BEE2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0.37389</cdr:x>
      <cdr:y>3.19525E-7</cdr:y>
    </cdr:from>
    <cdr:to>
      <cdr:x>0.59452</cdr:x>
      <cdr:y>0.14783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B9D122E-ADE4-494C-8276-2638B30C959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877786" y="1"/>
          <a:ext cx="1108061" cy="462644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0;&#1091;&#1079;&#1085;&#1077;&#1094;&#1086;&#1074;%20&#1056;&#1086;&#1084;&#1072;&#1085;23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_const_p_135"/>
      <sheetName val="ro_var_p_135"/>
      <sheetName val="ro_const_p_105"/>
      <sheetName val="ro_var_p_105"/>
    </sheetNames>
    <sheetDataSet>
      <sheetData sheetId="0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</sheetData>
      <sheetData sheetId="1">
        <row r="10">
          <cell r="G10">
            <v>1.366645195577177</v>
          </cell>
        </row>
      </sheetData>
      <sheetData sheetId="2">
        <row r="13">
          <cell r="G13">
            <v>18.944318656593634</v>
          </cell>
        </row>
      </sheetData>
      <sheetData sheetId="3">
        <row r="10">
          <cell r="G10">
            <v>0.45802108266294694</v>
          </cell>
          <cell r="H10">
            <v>0.45802205274429714</v>
          </cell>
          <cell r="I10">
            <v>0.45807673534866261</v>
          </cell>
          <cell r="J10">
            <v>0.45816340495744534</v>
          </cell>
          <cell r="K10">
            <v>0.45827075232910464</v>
          </cell>
          <cell r="L10">
            <v>0.45838593888599438</v>
          </cell>
          <cell r="M10">
            <v>0.45849551753028378</v>
          </cell>
          <cell r="N10">
            <v>0.45858704157640262</v>
          </cell>
          <cell r="O10">
            <v>0.4586514358057997</v>
          </cell>
          <cell r="P10">
            <v>0.45868587055653737</v>
          </cell>
          <cell r="Q10">
            <v>0.4586961256338285</v>
          </cell>
        </row>
        <row r="13">
          <cell r="G13">
            <v>17.96571550535436</v>
          </cell>
          <cell r="H13">
            <v>19.913455981592517</v>
          </cell>
          <cell r="I13">
            <v>22.200110360834749</v>
          </cell>
          <cell r="J13">
            <v>24.908247456591255</v>
          </cell>
          <cell r="K13">
            <v>28.148357627262506</v>
          </cell>
          <cell r="L13">
            <v>32.070331583152644</v>
          </cell>
          <cell r="M13">
            <v>36.882261654019779</v>
          </cell>
          <cell r="N13">
            <v>42.881188334412563</v>
          </cell>
          <cell r="O13">
            <v>50.505937196002144</v>
          </cell>
          <cell r="P13">
            <v>60.433938702113757</v>
          </cell>
          <cell r="Q13">
            <v>73.774964942658258</v>
          </cell>
        </row>
        <row r="14">
          <cell r="G14">
            <v>104795.36960394381</v>
          </cell>
          <cell r="H14">
            <v>104746.20422899675</v>
          </cell>
          <cell r="I14">
            <v>104681.88384740002</v>
          </cell>
          <cell r="J14">
            <v>104596.46592138089</v>
          </cell>
          <cell r="K14">
            <v>104481.0687341094</v>
          </cell>
          <cell r="L14">
            <v>104322.10354246786</v>
          </cell>
          <cell r="M14">
            <v>104098.15855164286</v>
          </cell>
          <cell r="N14">
            <v>103774.30665277598</v>
          </cell>
          <cell r="O14">
            <v>103291.15925986697</v>
          </cell>
          <cell r="P14">
            <v>102542.43258943266</v>
          </cell>
          <cell r="Q14">
            <v>101325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X56"/>
  <sheetViews>
    <sheetView zoomScale="60" zoomScaleNormal="60" workbookViewId="0">
      <selection activeCell="Q14" sqref="Q14"/>
    </sheetView>
  </sheetViews>
  <sheetFormatPr defaultRowHeight="15" x14ac:dyDescent="0.25"/>
  <cols>
    <col min="3" max="3" width="10.140625" bestFit="1" customWidth="1"/>
    <col min="20" max="24" width="10.140625" bestFit="1" customWidth="1"/>
  </cols>
  <sheetData>
    <row r="1" spans="1:24" x14ac:dyDescent="0.25">
      <c r="A1" s="2"/>
      <c r="B1" s="2"/>
      <c r="C1" s="2"/>
      <c r="D1" s="2"/>
      <c r="E1" s="2"/>
      <c r="F1" s="3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2"/>
      <c r="S1" s="2"/>
      <c r="T1" s="1"/>
      <c r="U1" s="1"/>
      <c r="V1" s="1"/>
      <c r="W1" s="1"/>
      <c r="X1" s="1"/>
    </row>
    <row r="2" spans="1:24" x14ac:dyDescent="0.25">
      <c r="A2" s="2"/>
      <c r="B2" s="2"/>
      <c r="C2" s="2"/>
      <c r="D2" s="2"/>
      <c r="E2" s="2"/>
      <c r="F2" s="3" t="s">
        <v>1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  <c r="R2" s="2"/>
      <c r="S2" s="2"/>
      <c r="T2" s="1"/>
      <c r="U2" s="1"/>
      <c r="V2" s="1"/>
      <c r="W2" s="1"/>
      <c r="X2" s="1"/>
    </row>
    <row r="3" spans="1:24" x14ac:dyDescent="0.25">
      <c r="A3" s="2"/>
      <c r="B3" s="3" t="s">
        <v>2</v>
      </c>
      <c r="C3" s="3">
        <v>0.1</v>
      </c>
      <c r="D3" s="2"/>
      <c r="E3" s="2"/>
      <c r="F3" s="3" t="s">
        <v>3</v>
      </c>
      <c r="G3" s="20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20">
        <v>0.04</v>
      </c>
      <c r="R3" s="2"/>
      <c r="S3" s="2"/>
      <c r="T3" s="1"/>
      <c r="U3" s="1"/>
      <c r="V3" s="1"/>
      <c r="W3" s="1"/>
      <c r="X3" s="1"/>
    </row>
    <row r="4" spans="1:24" x14ac:dyDescent="0.25">
      <c r="A4" s="2"/>
      <c r="B4" s="3" t="s">
        <v>4</v>
      </c>
      <c r="C4" s="3">
        <f>C3/10</f>
        <v>0.01</v>
      </c>
      <c r="D4" s="2"/>
      <c r="E4" s="2"/>
      <c r="F4" s="3" t="s">
        <v>5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7">
        <f t="shared" si="2"/>
        <v>5.0265482457436689E-3</v>
      </c>
      <c r="R4" s="2"/>
      <c r="S4" s="2"/>
      <c r="T4" s="1"/>
      <c r="U4" s="1"/>
      <c r="V4" s="1"/>
      <c r="W4" s="1"/>
      <c r="X4" s="1"/>
    </row>
    <row r="5" spans="1:24" x14ac:dyDescent="0.25">
      <c r="A5" s="2"/>
      <c r="B5" s="2"/>
      <c r="C5" s="2"/>
      <c r="D5" s="2"/>
      <c r="E5" s="2"/>
      <c r="F5" s="3" t="s">
        <v>6</v>
      </c>
      <c r="G5" s="3">
        <v>57.345863662693617</v>
      </c>
      <c r="H5" s="3">
        <v>63.541273244471491</v>
      </c>
      <c r="I5" s="3">
        <v>70.806929022965377</v>
      </c>
      <c r="J5" s="3">
        <v>79.397519650294129</v>
      </c>
      <c r="K5" s="3">
        <v>89.652956402094503</v>
      </c>
      <c r="L5" s="3">
        <v>102.02955520689169</v>
      </c>
      <c r="M5" s="3">
        <v>117.15172537059544</v>
      </c>
      <c r="N5" s="3">
        <v>135.8927282316663</v>
      </c>
      <c r="O5" s="3">
        <v>159.50475198776715</v>
      </c>
      <c r="P5" s="3">
        <v>189.83572747710332</v>
      </c>
      <c r="Q5" s="3">
        <v>229.70519916278516</v>
      </c>
      <c r="R5" s="2"/>
      <c r="S5" s="2"/>
      <c r="T5" s="1"/>
      <c r="U5" s="1"/>
      <c r="V5" s="1"/>
      <c r="W5" s="1"/>
      <c r="X5" s="1"/>
    </row>
    <row r="6" spans="1:24" x14ac:dyDescent="0.25">
      <c r="A6" s="2"/>
      <c r="B6" s="20" t="s">
        <v>7</v>
      </c>
      <c r="C6" s="20">
        <v>1.4</v>
      </c>
      <c r="D6" s="2"/>
      <c r="E6" s="2"/>
      <c r="F6" s="3" t="s">
        <v>8</v>
      </c>
      <c r="G6" s="3">
        <v>133051.53526306202</v>
      </c>
      <c r="H6" s="3">
        <v>132585.0204570019</v>
      </c>
      <c r="I6" s="3">
        <v>131975.35096062184</v>
      </c>
      <c r="J6" s="3">
        <v>131167.04864642158</v>
      </c>
      <c r="K6" s="3">
        <v>130077.46773118924</v>
      </c>
      <c r="L6" s="3">
        <v>128581.01478432902</v>
      </c>
      <c r="M6" s="3">
        <v>126481.62501993927</v>
      </c>
      <c r="N6" s="3">
        <v>123463.65894101333</v>
      </c>
      <c r="O6" s="3">
        <v>119000.64254371547</v>
      </c>
      <c r="P6" s="3">
        <v>112177.50864414575</v>
      </c>
      <c r="Q6" s="3">
        <v>101325</v>
      </c>
      <c r="R6" s="2"/>
      <c r="S6" s="2"/>
      <c r="T6" s="1"/>
      <c r="U6" s="1"/>
      <c r="V6" s="1"/>
      <c r="W6" s="1"/>
      <c r="X6" s="1"/>
    </row>
    <row r="7" spans="1:24" x14ac:dyDescent="0.25">
      <c r="A7" s="2"/>
      <c r="B7" s="20" t="s">
        <v>3</v>
      </c>
      <c r="C7" s="20">
        <v>286.97199999999998</v>
      </c>
      <c r="D7" s="2"/>
      <c r="E7" s="2"/>
      <c r="F7" s="3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2"/>
      <c r="S7" s="2"/>
      <c r="T7" s="1"/>
      <c r="U7" s="1"/>
      <c r="V7" s="1"/>
      <c r="W7" s="1"/>
      <c r="X7" s="1"/>
    </row>
    <row r="8" spans="1:24" x14ac:dyDescent="0.25">
      <c r="A8" s="2"/>
      <c r="B8" s="20" t="s">
        <v>10</v>
      </c>
      <c r="C8" s="20">
        <v>1004.4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"/>
      <c r="U8" s="1"/>
      <c r="V8" s="1"/>
      <c r="W8" s="1"/>
      <c r="X8" s="1"/>
    </row>
    <row r="9" spans="1:24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1"/>
      <c r="U9" s="1"/>
      <c r="V9" s="1"/>
      <c r="W9" s="1"/>
      <c r="X9" s="1"/>
    </row>
    <row r="10" spans="1:24" x14ac:dyDescent="0.25">
      <c r="A10" s="2"/>
      <c r="B10" s="21" t="s">
        <v>11</v>
      </c>
      <c r="C10" s="21">
        <v>135000</v>
      </c>
      <c r="D10" s="2"/>
      <c r="E10" s="2"/>
      <c r="F10" s="3" t="s">
        <v>12</v>
      </c>
      <c r="G10" s="6">
        <f>G4*G7*G13</f>
        <v>1.3663165238514254</v>
      </c>
      <c r="H10" s="6">
        <f t="shared" ref="H10:Q10" si="3">H4*H7*H13</f>
        <v>1.3663197670643263</v>
      </c>
      <c r="I10" s="6">
        <f t="shared" si="3"/>
        <v>1.3665020425140293</v>
      </c>
      <c r="J10" s="6">
        <f t="shared" si="3"/>
        <v>1.3667666214711018</v>
      </c>
      <c r="K10" s="6">
        <f t="shared" si="3"/>
        <v>1.3670804272061059</v>
      </c>
      <c r="L10" s="6">
        <f t="shared" si="3"/>
        <v>1.3674069190133782</v>
      </c>
      <c r="M10" s="6">
        <f t="shared" si="3"/>
        <v>1.3677090959522973</v>
      </c>
      <c r="N10" s="7">
        <f t="shared" si="3"/>
        <v>1.3679543599839599</v>
      </c>
      <c r="O10" s="6">
        <f t="shared" si="3"/>
        <v>1.3681211846855306</v>
      </c>
      <c r="P10" s="6">
        <f t="shared" si="3"/>
        <v>1.3682064201253556</v>
      </c>
      <c r="Q10" s="6">
        <f t="shared" si="3"/>
        <v>1.3682298874393872</v>
      </c>
      <c r="R10" s="2"/>
      <c r="S10" s="2"/>
      <c r="T10" s="1"/>
      <c r="U10" s="1"/>
      <c r="V10" s="1"/>
      <c r="W10" s="1"/>
      <c r="X10" s="1"/>
    </row>
    <row r="11" spans="1:24" x14ac:dyDescent="0.25">
      <c r="A11" s="2"/>
      <c r="B11" s="21" t="s">
        <v>13</v>
      </c>
      <c r="C11" s="21">
        <v>288.16000000000003</v>
      </c>
      <c r="D11" s="2"/>
      <c r="E11" s="2"/>
      <c r="F11" s="3" t="s">
        <v>14</v>
      </c>
      <c r="G11" s="3">
        <v>0</v>
      </c>
      <c r="H11" s="3">
        <f>H13*(H10-I10)</f>
        <v>-1.1582041647454057E-2</v>
      </c>
      <c r="I11" s="3">
        <f t="shared" ref="I11:P11" si="4">I13*(I10-J10)</f>
        <v>-1.8734079957256542E-2</v>
      </c>
      <c r="J11" s="3">
        <f t="shared" si="4"/>
        <v>-2.491547619513871E-2</v>
      </c>
      <c r="K11" s="3">
        <f t="shared" si="4"/>
        <v>-2.927104196555097E-2</v>
      </c>
      <c r="L11" s="3">
        <f t="shared" si="4"/>
        <v>-3.0831053631231058E-2</v>
      </c>
      <c r="M11" s="3">
        <f t="shared" si="4"/>
        <v>-2.8733155360282273E-2</v>
      </c>
      <c r="N11" s="3">
        <f t="shared" si="4"/>
        <v>-2.2670288881888406E-2</v>
      </c>
      <c r="O11" s="3">
        <f t="shared" si="4"/>
        <v>-1.3595465323413746E-2</v>
      </c>
      <c r="P11" s="3">
        <f t="shared" si="4"/>
        <v>-4.4549356265903622E-3</v>
      </c>
      <c r="Q11" s="23">
        <v>0</v>
      </c>
      <c r="R11" s="2"/>
      <c r="S11" s="2"/>
      <c r="T11" s="1"/>
      <c r="U11" s="1"/>
      <c r="V11" s="1"/>
      <c r="W11" s="1"/>
      <c r="X11" s="1"/>
    </row>
    <row r="12" spans="1:24" x14ac:dyDescent="0.25">
      <c r="A12" s="2"/>
      <c r="B12" s="21" t="s">
        <v>8</v>
      </c>
      <c r="C12" s="21">
        <v>101325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1"/>
      <c r="U12" s="1"/>
      <c r="V12" s="1"/>
      <c r="W12" s="1"/>
      <c r="X12" s="1"/>
    </row>
    <row r="13" spans="1:24" x14ac:dyDescent="0.25">
      <c r="A13" s="2"/>
      <c r="B13" s="2"/>
      <c r="C13" s="2"/>
      <c r="D13" s="2"/>
      <c r="E13" s="2"/>
      <c r="F13" s="3" t="s">
        <v>6</v>
      </c>
      <c r="G13" s="23">
        <f>(H4*H5*H7)/(G4*G7)</f>
        <v>57.345999103135519</v>
      </c>
      <c r="H13" s="3">
        <f>((G6-H6)/H7+G5*H5)^0.5</f>
        <v>63.541424071804343</v>
      </c>
      <c r="I13" s="3">
        <f t="shared" ref="I13:Q13" si="5">((H6-I6)/I7+H5*I5)^0.5</f>
        <v>70.80714265616993</v>
      </c>
      <c r="J13" s="3">
        <f t="shared" si="5"/>
        <v>79.397771984047765</v>
      </c>
      <c r="K13" s="3">
        <f t="shared" si="5"/>
        <v>89.653220428711691</v>
      </c>
      <c r="L13" s="3">
        <f t="shared" si="5"/>
        <v>102.02980327193542</v>
      </c>
      <c r="M13" s="3">
        <f t="shared" si="5"/>
        <v>117.15193281912278</v>
      </c>
      <c r="N13" s="3">
        <f t="shared" si="5"/>
        <v>135.89287838336543</v>
      </c>
      <c r="O13" s="3">
        <f t="shared" si="5"/>
        <v>159.50484154612215</v>
      </c>
      <c r="P13" s="3">
        <f t="shared" si="5"/>
        <v>189.83576989662194</v>
      </c>
      <c r="Q13" s="3">
        <f t="shared" si="5"/>
        <v>229.70522138401481</v>
      </c>
      <c r="R13" s="2"/>
      <c r="S13" s="2"/>
      <c r="T13" s="1"/>
      <c r="U13" s="1"/>
      <c r="V13" s="1"/>
      <c r="W13" s="1"/>
      <c r="X13" s="1"/>
    </row>
    <row r="14" spans="1:24" x14ac:dyDescent="0.25">
      <c r="A14" s="2"/>
      <c r="B14" s="3" t="s">
        <v>15</v>
      </c>
      <c r="C14" s="3">
        <v>2000</v>
      </c>
      <c r="D14" s="2">
        <v>2000</v>
      </c>
      <c r="E14" s="2"/>
      <c r="F14" s="3" t="s">
        <v>8</v>
      </c>
      <c r="G14" s="23">
        <f>C10-(G7*G13^2)/2</f>
        <v>133051.52605921644</v>
      </c>
      <c r="H14" s="3">
        <f>H6+H11</f>
        <v>132585.00887496024</v>
      </c>
      <c r="I14" s="3">
        <f t="shared" ref="I14:Q14" si="6">I6+I11</f>
        <v>131975.33222654188</v>
      </c>
      <c r="J14" s="3">
        <f t="shared" si="6"/>
        <v>131167.0237309454</v>
      </c>
      <c r="K14" s="3">
        <f t="shared" si="6"/>
        <v>130077.43846014728</v>
      </c>
      <c r="L14" s="3">
        <f t="shared" si="6"/>
        <v>128580.98395327538</v>
      </c>
      <c r="M14" s="3">
        <f t="shared" si="6"/>
        <v>126481.59628678391</v>
      </c>
      <c r="N14" s="3">
        <f t="shared" si="6"/>
        <v>123463.63627072446</v>
      </c>
      <c r="O14" s="3">
        <f t="shared" si="6"/>
        <v>119000.62894825015</v>
      </c>
      <c r="P14" s="3">
        <f t="shared" si="6"/>
        <v>112177.50418921013</v>
      </c>
      <c r="Q14" s="23">
        <f t="shared" si="6"/>
        <v>101325</v>
      </c>
      <c r="R14" s="2"/>
      <c r="S14" s="2"/>
      <c r="T14" s="1"/>
      <c r="U14" s="1"/>
      <c r="V14" s="1"/>
      <c r="W14" s="1"/>
      <c r="X14" s="1"/>
    </row>
    <row r="15" spans="1:24" x14ac:dyDescent="0.25">
      <c r="A15" s="2"/>
      <c r="B15" s="2"/>
      <c r="C15" s="2"/>
      <c r="D15" s="2"/>
      <c r="E15" s="2"/>
      <c r="F15" s="3" t="s">
        <v>9</v>
      </c>
      <c r="G15" s="3">
        <f>1.185</f>
        <v>1.1850000000000001</v>
      </c>
      <c r="H15" s="3">
        <f t="shared" ref="H15:Q15" si="7">1.185</f>
        <v>1.1850000000000001</v>
      </c>
      <c r="I15" s="3">
        <f t="shared" si="7"/>
        <v>1.1850000000000001</v>
      </c>
      <c r="J15" s="3">
        <f t="shared" si="7"/>
        <v>1.1850000000000001</v>
      </c>
      <c r="K15" s="3">
        <f t="shared" si="7"/>
        <v>1.1850000000000001</v>
      </c>
      <c r="L15" s="3">
        <f t="shared" si="7"/>
        <v>1.1850000000000001</v>
      </c>
      <c r="M15" s="3">
        <f t="shared" si="7"/>
        <v>1.1850000000000001</v>
      </c>
      <c r="N15" s="3">
        <f t="shared" si="7"/>
        <v>1.1850000000000001</v>
      </c>
      <c r="O15" s="3">
        <f t="shared" si="7"/>
        <v>1.1850000000000001</v>
      </c>
      <c r="P15" s="3">
        <f t="shared" si="7"/>
        <v>1.1850000000000001</v>
      </c>
      <c r="Q15" s="3">
        <f t="shared" si="7"/>
        <v>1.1850000000000001</v>
      </c>
      <c r="R15" s="4"/>
      <c r="S15" s="2"/>
      <c r="T15" s="1"/>
      <c r="U15" s="1"/>
      <c r="V15" s="1" t="s">
        <v>19</v>
      </c>
      <c r="W15" s="1"/>
      <c r="X15" s="1"/>
    </row>
    <row r="16" spans="1:2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1"/>
      <c r="U16" s="1"/>
      <c r="V16" s="1"/>
      <c r="W16" s="1"/>
      <c r="X16" s="1"/>
    </row>
    <row r="17" spans="1:24" x14ac:dyDescent="0.25">
      <c r="A17" s="2"/>
      <c r="B17" s="2"/>
      <c r="C17" s="2"/>
      <c r="D17" s="2"/>
      <c r="E17" s="2"/>
      <c r="F17" s="3" t="s">
        <v>16</v>
      </c>
      <c r="G17" s="3">
        <f>$C$11-(G13^2)/(2*$C$8)</f>
        <v>286.52292133953767</v>
      </c>
      <c r="H17" s="3">
        <f t="shared" ref="H17:Q17" si="8">$C$11-(H13^2)/(2*$C$8)</f>
        <v>286.15008732921507</v>
      </c>
      <c r="I17" s="3">
        <f t="shared" si="8"/>
        <v>285.66415598808686</v>
      </c>
      <c r="J17" s="3">
        <f t="shared" si="8"/>
        <v>285.0218049601599</v>
      </c>
      <c r="K17" s="3">
        <f t="shared" si="8"/>
        <v>284.15875550914024</v>
      </c>
      <c r="L17" s="3">
        <f t="shared" si="8"/>
        <v>282.97776147166974</v>
      </c>
      <c r="M17" s="3">
        <f t="shared" si="8"/>
        <v>281.32777411227789</v>
      </c>
      <c r="N17" s="3">
        <f t="shared" si="8"/>
        <v>278.96701194976299</v>
      </c>
      <c r="O17" s="3">
        <f t="shared" si="8"/>
        <v>275.49482951182125</v>
      </c>
      <c r="P17" s="3">
        <f t="shared" si="8"/>
        <v>270.22012568088252</v>
      </c>
      <c r="Q17" s="3">
        <f t="shared" si="8"/>
        <v>261.89332898691794</v>
      </c>
      <c r="R17" s="2"/>
      <c r="S17" s="2"/>
      <c r="T17" s="1"/>
      <c r="U17" s="1"/>
      <c r="V17" s="1"/>
      <c r="W17" s="1"/>
      <c r="X17" s="1"/>
    </row>
    <row r="18" spans="1:24" x14ac:dyDescent="0.25">
      <c r="A18" s="2"/>
      <c r="B18" s="2"/>
      <c r="C18" s="2"/>
      <c r="D18" s="2"/>
      <c r="E18" s="2"/>
      <c r="F18" s="3" t="s">
        <v>17</v>
      </c>
      <c r="G18" s="3">
        <f>SQRT($C$7*$C$6*G17)</f>
        <v>339.28406696411446</v>
      </c>
      <c r="H18" s="3">
        <f t="shared" ref="H18:Q18" si="9">SQRT($C$7*$C$6*H17)</f>
        <v>339.06325074454071</v>
      </c>
      <c r="I18" s="3">
        <f t="shared" si="9"/>
        <v>338.77523498788776</v>
      </c>
      <c r="J18" s="3">
        <f t="shared" si="9"/>
        <v>338.39413171365396</v>
      </c>
      <c r="K18" s="3">
        <f t="shared" si="9"/>
        <v>337.88141254048969</v>
      </c>
      <c r="L18" s="3">
        <f t="shared" si="9"/>
        <v>337.17854592347243</v>
      </c>
      <c r="M18" s="3">
        <f t="shared" si="9"/>
        <v>336.19409808854175</v>
      </c>
      <c r="N18" s="3">
        <f t="shared" si="9"/>
        <v>334.78053989822394</v>
      </c>
      <c r="O18" s="3">
        <f t="shared" si="9"/>
        <v>332.69058162282397</v>
      </c>
      <c r="P18" s="3">
        <f t="shared" si="9"/>
        <v>329.49029404468337</v>
      </c>
      <c r="Q18" s="3">
        <f t="shared" si="9"/>
        <v>324.37397147189125</v>
      </c>
      <c r="R18" s="2"/>
      <c r="S18" s="2"/>
      <c r="T18" s="1"/>
      <c r="U18" s="1"/>
      <c r="V18" s="1"/>
      <c r="W18" s="1"/>
      <c r="X18" s="1"/>
    </row>
    <row r="19" spans="1:24" x14ac:dyDescent="0.25">
      <c r="A19" s="2"/>
      <c r="B19" s="2"/>
      <c r="C19" s="2"/>
      <c r="D19" s="2"/>
      <c r="E19" s="2"/>
      <c r="F19" s="3" t="s">
        <v>18</v>
      </c>
      <c r="G19" s="3">
        <f>G13/G18</f>
        <v>0.16902060746990785</v>
      </c>
      <c r="H19" s="3">
        <f t="shared" ref="H19:Q19" si="10">H13/H18</f>
        <v>0.18740286342526147</v>
      </c>
      <c r="I19" s="3">
        <f t="shared" si="10"/>
        <v>0.20900920534731973</v>
      </c>
      <c r="J19" s="3">
        <f t="shared" si="10"/>
        <v>0.23463105456933112</v>
      </c>
      <c r="K19" s="3">
        <f t="shared" si="10"/>
        <v>0.26533930870780936</v>
      </c>
      <c r="L19" s="3">
        <f t="shared" si="10"/>
        <v>0.30259874035726037</v>
      </c>
      <c r="M19" s="3">
        <f t="shared" si="10"/>
        <v>0.34846516784559695</v>
      </c>
      <c r="N19" s="3">
        <f t="shared" si="10"/>
        <v>0.40591630094353154</v>
      </c>
      <c r="O19" s="3">
        <f t="shared" si="10"/>
        <v>0.47943900536070794</v>
      </c>
      <c r="P19" s="3">
        <f t="shared" si="10"/>
        <v>0.57614980874331201</v>
      </c>
      <c r="Q19" s="3">
        <f t="shared" si="10"/>
        <v>0.70814936334655942</v>
      </c>
      <c r="R19" s="2"/>
      <c r="S19" s="2"/>
      <c r="T19" s="1"/>
      <c r="U19" s="1"/>
      <c r="V19" s="1"/>
      <c r="W19" s="1"/>
      <c r="X19" s="1"/>
    </row>
    <row r="20" spans="1:2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7"/>
      <c r="S23" s="7">
        <v>0</v>
      </c>
      <c r="T23" s="6">
        <v>2.5000000000000001E-2</v>
      </c>
      <c r="U23" s="7">
        <v>0.05</v>
      </c>
      <c r="V23" s="6">
        <v>7.4999999999999997E-2</v>
      </c>
      <c r="W23" s="7">
        <v>0.1</v>
      </c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7" t="s">
        <v>20</v>
      </c>
      <c r="S24" s="8">
        <v>62.6</v>
      </c>
      <c r="T24" s="7">
        <v>78.260000000000005</v>
      </c>
      <c r="U24" s="7">
        <v>106.77</v>
      </c>
      <c r="V24" s="7">
        <v>153.75</v>
      </c>
      <c r="W24" s="7">
        <v>238.13</v>
      </c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7" t="s">
        <v>21</v>
      </c>
      <c r="S25" s="5">
        <v>132552</v>
      </c>
      <c r="T25" s="5">
        <v>131334</v>
      </c>
      <c r="U25" s="5">
        <v>128213</v>
      </c>
      <c r="V25" s="5">
        <v>120941</v>
      </c>
      <c r="W25" s="5">
        <v>101336</v>
      </c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7" t="s">
        <v>22</v>
      </c>
      <c r="S26" s="6">
        <v>1.375</v>
      </c>
      <c r="T26" s="7"/>
      <c r="U26" s="7"/>
      <c r="V26" s="7"/>
      <c r="W26" s="7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5A306-F7A8-44AA-ABDE-A282F5ECB721}">
  <dimension ref="B1:AW30"/>
  <sheetViews>
    <sheetView tabSelected="1" zoomScale="60" zoomScaleNormal="60" workbookViewId="0">
      <selection activeCell="AA28" sqref="AA28"/>
    </sheetView>
  </sheetViews>
  <sheetFormatPr defaultRowHeight="15" x14ac:dyDescent="0.25"/>
  <sheetData>
    <row r="1" spans="2:17" x14ac:dyDescent="0.25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25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25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9" t="s">
        <v>6</v>
      </c>
      <c r="G5" s="9">
        <v>41.952458170366562</v>
      </c>
      <c r="H5" s="9">
        <v>46.572722315258261</v>
      </c>
      <c r="I5" s="9">
        <v>51.998998595347025</v>
      </c>
      <c r="J5" s="9">
        <v>58.481574269464545</v>
      </c>
      <c r="K5" s="9">
        <v>66.327200919066215</v>
      </c>
      <c r="L5" s="9">
        <v>75.973877099938278</v>
      </c>
      <c r="M5" s="9">
        <v>88.075946290190913</v>
      </c>
      <c r="N5" s="9">
        <v>103.67585204999334</v>
      </c>
      <c r="O5" s="9">
        <v>124.60693830892183</v>
      </c>
      <c r="P5" s="9">
        <v>154.70189233611086</v>
      </c>
      <c r="Q5" s="9">
        <v>205.86732315098098</v>
      </c>
    </row>
    <row r="6" spans="2:17" x14ac:dyDescent="0.25">
      <c r="B6" s="11" t="s">
        <v>7</v>
      </c>
      <c r="C6" s="11">
        <v>1.4</v>
      </c>
      <c r="F6" s="9" t="s">
        <v>8</v>
      </c>
      <c r="G6" s="9">
        <v>133574.20645422692</v>
      </c>
      <c r="H6" s="9">
        <v>133226.28716879166</v>
      </c>
      <c r="I6" s="9">
        <v>132771.1614403399</v>
      </c>
      <c r="J6" s="9">
        <v>132161.66801093385</v>
      </c>
      <c r="K6" s="9">
        <v>131328.88571868328</v>
      </c>
      <c r="L6" s="9">
        <v>130163.60851596277</v>
      </c>
      <c r="M6" s="9">
        <v>128484.90473201471</v>
      </c>
      <c r="N6" s="9">
        <v>125974.38540805619</v>
      </c>
      <c r="O6" s="9">
        <v>122019.7344116298</v>
      </c>
      <c r="P6" s="9">
        <v>115251.08218729163</v>
      </c>
      <c r="Q6" s="9">
        <v>101325</v>
      </c>
    </row>
    <row r="7" spans="2:17" x14ac:dyDescent="0.25">
      <c r="B7" s="11" t="s">
        <v>3</v>
      </c>
      <c r="C7" s="11">
        <v>286.97199999999998</v>
      </c>
      <c r="F7" s="9" t="s">
        <v>9</v>
      </c>
      <c r="G7" s="9">
        <v>1.6202120766536134</v>
      </c>
      <c r="H7" s="9">
        <v>1.617138055023114</v>
      </c>
      <c r="I7" s="9">
        <v>1.6131097716441272</v>
      </c>
      <c r="J7" s="9">
        <v>1.6077031930153689</v>
      </c>
      <c r="K7" s="9">
        <v>1.6002958497504662</v>
      </c>
      <c r="L7" s="9">
        <v>1.5898957190694107</v>
      </c>
      <c r="M7" s="9">
        <v>1.5748467970151123</v>
      </c>
      <c r="N7" s="9">
        <v>1.5522053888257903</v>
      </c>
      <c r="O7" s="9">
        <v>1.5162304142338905</v>
      </c>
      <c r="P7" s="9">
        <v>1.4538157117758432</v>
      </c>
      <c r="Q7" s="9">
        <v>1.3221013290732198</v>
      </c>
    </row>
    <row r="8" spans="2:17" x14ac:dyDescent="0.25">
      <c r="B8" s="11" t="s">
        <v>10</v>
      </c>
      <c r="C8" s="11">
        <v>1004.4</v>
      </c>
    </row>
    <row r="10" spans="2:17" x14ac:dyDescent="0.25">
      <c r="B10" s="22" t="s">
        <v>11</v>
      </c>
      <c r="C10" s="22">
        <v>135000</v>
      </c>
      <c r="F10" s="9" t="s">
        <v>12</v>
      </c>
      <c r="G10" s="10">
        <f t="shared" ref="G10:Q10" si="3">G4*G7*G13</f>
        <v>1.366645195577177</v>
      </c>
      <c r="H10" s="10">
        <f t="shared" si="3"/>
        <v>1.3666347344859844</v>
      </c>
      <c r="I10" s="10">
        <f t="shared" si="3"/>
        <v>1.3660677312876293</v>
      </c>
      <c r="J10" s="10">
        <f t="shared" si="3"/>
        <v>1.3658167470418781</v>
      </c>
      <c r="K10" s="10">
        <f t="shared" si="3"/>
        <v>1.3658483209918184</v>
      </c>
      <c r="L10" s="10">
        <f t="shared" si="3"/>
        <v>1.3661125638138347</v>
      </c>
      <c r="M10" s="10">
        <f t="shared" si="3"/>
        <v>1.3665415729811596</v>
      </c>
      <c r="N10" s="10">
        <f t="shared" si="3"/>
        <v>1.3670502324775375</v>
      </c>
      <c r="O10" s="10">
        <f t="shared" si="3"/>
        <v>1.3675415476349411</v>
      </c>
      <c r="P10" s="10">
        <f t="shared" si="3"/>
        <v>1.3679195404148627</v>
      </c>
      <c r="Q10" s="10">
        <f t="shared" si="3"/>
        <v>1.3681132042596771</v>
      </c>
    </row>
    <row r="11" spans="2:17" x14ac:dyDescent="0.25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2.6406680375334817E-2</v>
      </c>
      <c r="I11" s="12">
        <f t="shared" ref="I11:P11" si="4">(I13)*(I10-J10)</f>
        <v>1.3050883318935809E-2</v>
      </c>
      <c r="J11" s="12">
        <f t="shared" si="4"/>
        <v>-1.8464934745265399E-3</v>
      </c>
      <c r="K11" s="12">
        <f t="shared" si="4"/>
        <v>-1.7526515140232776E-2</v>
      </c>
      <c r="L11" s="12">
        <f t="shared" si="4"/>
        <v>-3.2593578471585345E-2</v>
      </c>
      <c r="M11" s="12">
        <f t="shared" si="4"/>
        <v>-4.4800799783623488E-2</v>
      </c>
      <c r="N11" s="12">
        <f t="shared" si="4"/>
        <v>-5.0937648111299527E-2</v>
      </c>
      <c r="O11" s="12">
        <f t="shared" si="4"/>
        <v>-4.7100604677384694E-2</v>
      </c>
      <c r="P11" s="12">
        <f t="shared" si="4"/>
        <v>-2.9960186970414304E-2</v>
      </c>
      <c r="Q11" s="13">
        <v>0</v>
      </c>
    </row>
    <row r="12" spans="2:17" x14ac:dyDescent="0.25">
      <c r="B12" s="22" t="s">
        <v>8</v>
      </c>
      <c r="C12" s="22">
        <v>101325</v>
      </c>
    </row>
    <row r="13" spans="2:17" x14ac:dyDescent="0.25">
      <c r="F13" s="9" t="s">
        <v>6</v>
      </c>
      <c r="G13" s="13">
        <f>(H4*H5*H7)/(G4*G7)</f>
        <v>41.952134974927866</v>
      </c>
      <c r="H13" s="14">
        <f t="shared" ref="H13:Q13" si="5">((G6-H6)/H7+G5*H5)^0.5</f>
        <v>46.572365820758591</v>
      </c>
      <c r="I13" s="14">
        <f t="shared" si="5"/>
        <v>51.99881482550407</v>
      </c>
      <c r="J13" s="14">
        <f t="shared" si="5"/>
        <v>58.481548175462336</v>
      </c>
      <c r="K13" s="14">
        <f t="shared" si="5"/>
        <v>66.327308369234387</v>
      </c>
      <c r="L13" s="14">
        <f t="shared" si="5"/>
        <v>75.974083898539305</v>
      </c>
      <c r="M13" s="14">
        <f t="shared" si="5"/>
        <v>88.076208352825077</v>
      </c>
      <c r="N13" s="14">
        <f t="shared" si="5"/>
        <v>103.67611774994239</v>
      </c>
      <c r="O13" s="14">
        <f t="shared" si="5"/>
        <v>124.60715436719285</v>
      </c>
      <c r="P13" s="14">
        <f t="shared" si="5"/>
        <v>154.70201471594376</v>
      </c>
      <c r="Q13" s="14">
        <f t="shared" si="5"/>
        <v>205.86733253631789</v>
      </c>
    </row>
    <row r="14" spans="2:17" x14ac:dyDescent="0.25">
      <c r="B14" s="9" t="s">
        <v>15</v>
      </c>
      <c r="C14" s="9">
        <v>2000</v>
      </c>
      <c r="F14" s="9" t="s">
        <v>8</v>
      </c>
      <c r="G14" s="15">
        <f>C10-(G7*G13^2)/2</f>
        <v>133574.22825503966</v>
      </c>
      <c r="H14" s="16">
        <f>H6+H11</f>
        <v>133226.31357547204</v>
      </c>
      <c r="I14" s="16">
        <f t="shared" ref="I14:Q14" si="6">I6+I11</f>
        <v>132771.17449122321</v>
      </c>
      <c r="J14" s="16">
        <f t="shared" si="6"/>
        <v>132161.66616444036</v>
      </c>
      <c r="K14" s="16">
        <f t="shared" si="6"/>
        <v>131328.86819216813</v>
      </c>
      <c r="L14" s="16">
        <f t="shared" si="6"/>
        <v>130163.57592238429</v>
      </c>
      <c r="M14" s="16">
        <f t="shared" si="6"/>
        <v>128484.85993121493</v>
      </c>
      <c r="N14" s="16">
        <f t="shared" si="6"/>
        <v>125974.33447040808</v>
      </c>
      <c r="O14" s="16">
        <f t="shared" si="6"/>
        <v>122019.68731102513</v>
      </c>
      <c r="P14" s="16">
        <f t="shared" si="6"/>
        <v>115251.05222710465</v>
      </c>
      <c r="Q14" s="15">
        <f t="shared" si="6"/>
        <v>101325</v>
      </c>
    </row>
    <row r="15" spans="2:17" x14ac:dyDescent="0.25">
      <c r="F15" s="9" t="s">
        <v>9</v>
      </c>
      <c r="G15" s="10">
        <f>G14/($C$7*G17)</f>
        <v>1.6202122649570925</v>
      </c>
      <c r="H15" s="10">
        <f t="shared" ref="H15:Q15" si="7">H14/($C$7*H17)</f>
        <v>1.6171382824397458</v>
      </c>
      <c r="I15" s="10">
        <f t="shared" si="7"/>
        <v>1.613109876697655</v>
      </c>
      <c r="J15" s="10">
        <f t="shared" si="7"/>
        <v>1.6077031620263356</v>
      </c>
      <c r="K15" s="10">
        <f t="shared" si="7"/>
        <v>1.6002956758902236</v>
      </c>
      <c r="L15" s="10">
        <f t="shared" si="7"/>
        <v>1.5898954081272527</v>
      </c>
      <c r="M15" s="10">
        <f t="shared" si="7"/>
        <v>1.5748463751867776</v>
      </c>
      <c r="N15" s="10">
        <f t="shared" si="7"/>
        <v>1.5522049117211103</v>
      </c>
      <c r="O15" s="10">
        <f t="shared" si="7"/>
        <v>1.5162299738827569</v>
      </c>
      <c r="P15" s="10">
        <f t="shared" si="7"/>
        <v>1.453815433048117</v>
      </c>
      <c r="Q15" s="10">
        <f t="shared" si="7"/>
        <v>1.3221013385964215</v>
      </c>
    </row>
    <row r="17" spans="6:49" x14ac:dyDescent="0.25">
      <c r="F17" s="9" t="s">
        <v>16</v>
      </c>
      <c r="G17" s="14">
        <f>$C$11-(G13^2)/(2*$C$8)</f>
        <v>287.28386418311703</v>
      </c>
      <c r="H17" s="14">
        <f t="shared" ref="H17:Q17" si="8">$C$11-(H13^2)/(2*$C$8)</f>
        <v>287.08025823469609</v>
      </c>
      <c r="I17" s="14">
        <f t="shared" si="8"/>
        <v>286.81398409833878</v>
      </c>
      <c r="J17" s="14">
        <f t="shared" si="8"/>
        <v>286.45744550129484</v>
      </c>
      <c r="K17" s="14">
        <f t="shared" si="8"/>
        <v>285.96998016950045</v>
      </c>
      <c r="L17" s="14">
        <f t="shared" si="8"/>
        <v>285.28661219423424</v>
      </c>
      <c r="M17" s="14">
        <f t="shared" si="8"/>
        <v>284.29828231889178</v>
      </c>
      <c r="N17" s="14">
        <f t="shared" si="8"/>
        <v>282.80917493443854</v>
      </c>
      <c r="O17" s="14">
        <f t="shared" si="8"/>
        <v>280.43053817229719</v>
      </c>
      <c r="P17" s="14">
        <f t="shared" si="8"/>
        <v>276.24606463701116</v>
      </c>
      <c r="Q17" s="14">
        <f t="shared" si="8"/>
        <v>267.06215123177077</v>
      </c>
      <c r="AR17" s="9"/>
      <c r="AS17" s="9">
        <v>0</v>
      </c>
      <c r="AT17" s="9">
        <v>2.5000000000000001E-2</v>
      </c>
      <c r="AU17" s="9">
        <v>0.05</v>
      </c>
      <c r="AV17" s="9">
        <v>7.4999999999999997E-2</v>
      </c>
      <c r="AW17" s="9">
        <v>0.1</v>
      </c>
    </row>
    <row r="18" spans="6:49" x14ac:dyDescent="0.25">
      <c r="F18" s="9" t="s">
        <v>17</v>
      </c>
      <c r="G18" s="17">
        <f>SQRT($C$6*$C$7*G17)</f>
        <v>339.7343007429489</v>
      </c>
      <c r="H18" s="17">
        <f t="shared" ref="H18:Q18" si="9">SQRT($C$6*$C$7*H17)</f>
        <v>339.61388989936506</v>
      </c>
      <c r="I18" s="17">
        <f t="shared" si="9"/>
        <v>339.45635316272381</v>
      </c>
      <c r="J18" s="17">
        <f t="shared" si="9"/>
        <v>339.24529837649425</v>
      </c>
      <c r="K18" s="17">
        <f t="shared" si="9"/>
        <v>338.95652819924067</v>
      </c>
      <c r="L18" s="17">
        <f t="shared" si="9"/>
        <v>338.55129233905649</v>
      </c>
      <c r="M18" s="17">
        <f t="shared" si="9"/>
        <v>337.96435513684548</v>
      </c>
      <c r="N18" s="17">
        <f t="shared" si="9"/>
        <v>337.07809238958259</v>
      </c>
      <c r="O18" s="17">
        <f t="shared" si="9"/>
        <v>335.65755966540161</v>
      </c>
      <c r="P18" s="17">
        <f t="shared" si="9"/>
        <v>333.14387271180198</v>
      </c>
      <c r="Q18" s="17">
        <f t="shared" si="9"/>
        <v>327.55931299323061</v>
      </c>
      <c r="AR18" s="9" t="s">
        <v>20</v>
      </c>
      <c r="AS18" s="9">
        <v>46.31</v>
      </c>
      <c r="AT18" s="9">
        <v>58.19</v>
      </c>
      <c r="AU18" s="9">
        <v>80.48</v>
      </c>
      <c r="AV18" s="9">
        <v>120.03</v>
      </c>
      <c r="AW18" s="9">
        <v>213.26</v>
      </c>
    </row>
    <row r="19" spans="6:49" x14ac:dyDescent="0.25">
      <c r="F19" s="9" t="s">
        <v>18</v>
      </c>
      <c r="G19" s="12">
        <f>G13/G18</f>
        <v>0.12348513200811552</v>
      </c>
      <c r="H19" s="12">
        <f t="shared" ref="H19:Q19" si="10">H13/H18</f>
        <v>0.13713327754220828</v>
      </c>
      <c r="I19" s="12">
        <f t="shared" si="10"/>
        <v>0.15318262374832503</v>
      </c>
      <c r="J19" s="12">
        <f t="shared" si="10"/>
        <v>0.17238720316931128</v>
      </c>
      <c r="K19" s="12">
        <f t="shared" si="10"/>
        <v>0.19568087011513996</v>
      </c>
      <c r="L19" s="12">
        <f t="shared" si="10"/>
        <v>0.22440937493882568</v>
      </c>
      <c r="M19" s="12">
        <f t="shared" si="10"/>
        <v>0.260607981327386</v>
      </c>
      <c r="N19" s="12">
        <f t="shared" si="10"/>
        <v>0.3075729929968789</v>
      </c>
      <c r="O19" s="12">
        <f t="shared" si="10"/>
        <v>0.37123297473593864</v>
      </c>
      <c r="P19" s="12">
        <f t="shared" si="10"/>
        <v>0.46436998362498555</v>
      </c>
      <c r="Q19" s="12">
        <f t="shared" si="10"/>
        <v>0.62848871752448809</v>
      </c>
      <c r="AR19" s="9" t="s">
        <v>21</v>
      </c>
      <c r="AS19" s="9">
        <v>133165</v>
      </c>
      <c r="AT19" s="9">
        <v>132230</v>
      </c>
      <c r="AU19" s="9">
        <v>129765</v>
      </c>
      <c r="AV19" s="9">
        <v>123565</v>
      </c>
      <c r="AW19" s="9">
        <v>101336</v>
      </c>
    </row>
    <row r="20" spans="6:49" x14ac:dyDescent="0.25">
      <c r="F20" s="9" t="s">
        <v>23</v>
      </c>
      <c r="G20" s="9">
        <f>1-((($C$6-1)/($C$6+1))*G21^2)</f>
        <v>0.99704053956027028</v>
      </c>
      <c r="H20" s="9">
        <f t="shared" ref="H20:Q20" si="11">1-((($C$6-1)/($C$6+1))*H21^2)</f>
        <v>0.99637522452798677</v>
      </c>
      <c r="I20" s="9">
        <f t="shared" si="11"/>
        <v>0.99551738512144528</v>
      </c>
      <c r="J20" s="9">
        <f t="shared" si="11"/>
        <v>0.99438996137486713</v>
      </c>
      <c r="K20" s="9">
        <f t="shared" si="11"/>
        <v>0.99288656085264948</v>
      </c>
      <c r="L20" s="9">
        <f t="shared" si="11"/>
        <v>0.99084969708373349</v>
      </c>
      <c r="M20" s="9">
        <f t="shared" si="11"/>
        <v>0.98804110858762784</v>
      </c>
      <c r="N20" s="9">
        <f t="shared" si="11"/>
        <v>0.98408998256156943</v>
      </c>
      <c r="O20" s="9">
        <f t="shared" si="11"/>
        <v>0.97839276991627533</v>
      </c>
      <c r="P20" s="9">
        <f t="shared" si="11"/>
        <v>0.96986758176308718</v>
      </c>
      <c r="Q20" s="9">
        <f t="shared" si="11"/>
        <v>0.95586604237998785</v>
      </c>
      <c r="AR20" s="9" t="s">
        <v>22</v>
      </c>
      <c r="AS20" s="9">
        <v>1.387</v>
      </c>
      <c r="AT20" s="9"/>
      <c r="AU20" s="9"/>
      <c r="AV20" s="9"/>
      <c r="AW20" s="9"/>
    </row>
    <row r="21" spans="6:49" x14ac:dyDescent="0.25">
      <c r="F21" s="9" t="s">
        <v>24</v>
      </c>
      <c r="G21" s="9">
        <f>SQRT(((($C$6+1)/2)*G19^2)/(1+2*G19^2))</f>
        <v>0.13325450325740634</v>
      </c>
      <c r="H21" s="9">
        <f>SQRT(((($C$6+1)/2)*H19^2)/(1+2*H19^2))</f>
        <v>0.14747424463979894</v>
      </c>
      <c r="I21" s="9">
        <f t="shared" ref="I21:Q21" si="12">SQRT(((($C$6+1)/2)*I19^2)/(1+2*I19^2))</f>
        <v>0.1639990526537525</v>
      </c>
      <c r="J21" s="9">
        <f t="shared" si="12"/>
        <v>0.18346724980442006</v>
      </c>
      <c r="K21" s="9">
        <f t="shared" si="12"/>
        <v>0.20659292070180635</v>
      </c>
      <c r="L21" s="9">
        <f t="shared" si="12"/>
        <v>0.23431136869046568</v>
      </c>
      <c r="M21" s="9">
        <f t="shared" si="12"/>
        <v>0.2678681550207731</v>
      </c>
      <c r="N21" s="9">
        <f t="shared" si="12"/>
        <v>0.30896618687258187</v>
      </c>
      <c r="O21" s="9">
        <f t="shared" si="12"/>
        <v>0.36006024565667927</v>
      </c>
      <c r="P21" s="9">
        <f t="shared" si="12"/>
        <v>0.42519937608312292</v>
      </c>
      <c r="Q21" s="9">
        <f t="shared" si="12"/>
        <v>0.51459085273649507</v>
      </c>
    </row>
    <row r="22" spans="6:49" x14ac:dyDescent="0.25">
      <c r="F22" s="9" t="s">
        <v>25</v>
      </c>
      <c r="G22" s="9">
        <f>(1-((($C$6-1)/($C$6+1))*G21^2))^($C$6/($C$6-1))</f>
        <v>0.98968014980824814</v>
      </c>
      <c r="H22" s="9">
        <f t="shared" ref="H22:Q22" si="13">(1-((($C$6-1)/($C$6+1))*H21^2))^($C$6/($C$6-1))</f>
        <v>0.98737066482633495</v>
      </c>
      <c r="I22" s="9">
        <f t="shared" si="13"/>
        <v>0.98439856153413363</v>
      </c>
      <c r="J22" s="9">
        <f t="shared" si="13"/>
        <v>0.98050217118689553</v>
      </c>
      <c r="K22" s="9">
        <f t="shared" si="13"/>
        <v>0.97532355574748653</v>
      </c>
      <c r="L22" s="9">
        <f t="shared" si="13"/>
        <v>0.96833857597726203</v>
      </c>
      <c r="M22" s="9">
        <f t="shared" si="13"/>
        <v>0.95876583536247673</v>
      </c>
      <c r="N22" s="9">
        <f t="shared" si="13"/>
        <v>0.94541358470102099</v>
      </c>
      <c r="O22" s="9">
        <f t="shared" si="13"/>
        <v>0.92639525404761391</v>
      </c>
      <c r="P22" s="9">
        <f t="shared" si="13"/>
        <v>0.89844925072464876</v>
      </c>
      <c r="Q22" s="9">
        <f t="shared" si="13"/>
        <v>0.85386579544090735</v>
      </c>
    </row>
    <row r="23" spans="6:49" x14ac:dyDescent="0.25">
      <c r="F23" s="9" t="s">
        <v>11</v>
      </c>
      <c r="G23" s="9">
        <f>G14/G22</f>
        <v>134967.06817947177</v>
      </c>
      <c r="H23" s="9">
        <f t="shared" ref="H23:Q23" si="14">H14/H22</f>
        <v>134930.39475596001</v>
      </c>
      <c r="I23" s="9">
        <f t="shared" si="14"/>
        <v>134875.42513705656</v>
      </c>
      <c r="J23" s="9">
        <f t="shared" si="14"/>
        <v>134789.77410571053</v>
      </c>
      <c r="K23" s="9">
        <f t="shared" si="14"/>
        <v>134651.5906626677</v>
      </c>
      <c r="L23" s="9">
        <f t="shared" si="14"/>
        <v>134419.48833962463</v>
      </c>
      <c r="M23" s="9">
        <f t="shared" si="14"/>
        <v>134010.67830357052</v>
      </c>
      <c r="N23" s="9">
        <f t="shared" si="14"/>
        <v>133247.85734938047</v>
      </c>
      <c r="O23" s="9">
        <f t="shared" si="14"/>
        <v>131714.4995917193</v>
      </c>
      <c r="P23" s="9">
        <f t="shared" si="14"/>
        <v>128277.7542906829</v>
      </c>
      <c r="Q23" s="9">
        <f t="shared" si="14"/>
        <v>118666.18916111893</v>
      </c>
      <c r="S23" s="19"/>
    </row>
    <row r="30" spans="6:49" x14ac:dyDescent="0.25">
      <c r="J30" s="1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8A509-E30B-4586-BA8F-7233FB8B7A4B}">
  <dimension ref="B1:AK25"/>
  <sheetViews>
    <sheetView zoomScale="70" zoomScaleNormal="70" workbookViewId="0">
      <selection activeCell="T27" sqref="T27"/>
    </sheetView>
  </sheetViews>
  <sheetFormatPr defaultRowHeight="15" x14ac:dyDescent="0.25"/>
  <sheetData>
    <row r="1" spans="2:17" x14ac:dyDescent="0.25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25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25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9" t="s">
        <v>6</v>
      </c>
      <c r="G5" s="9">
        <v>18.971455776311203</v>
      </c>
      <c r="H5" s="9">
        <v>21.02100357299863</v>
      </c>
      <c r="I5" s="9">
        <v>23.421546758241181</v>
      </c>
      <c r="J5" s="9">
        <v>26.258062964201336</v>
      </c>
      <c r="K5" s="9">
        <v>29.64288847989371</v>
      </c>
      <c r="L5" s="9">
        <v>33.727017423980747</v>
      </c>
      <c r="M5" s="9">
        <v>38.717237739351916</v>
      </c>
      <c r="N5" s="9">
        <v>44.902831075546345</v>
      </c>
      <c r="O5" s="9">
        <v>52.69846135557016</v>
      </c>
      <c r="P5" s="9">
        <v>62.715524642010273</v>
      </c>
      <c r="Q5" s="9">
        <v>75.88578525174664</v>
      </c>
    </row>
    <row r="6" spans="2:17" x14ac:dyDescent="0.25">
      <c r="B6" s="11" t="s">
        <v>7</v>
      </c>
      <c r="C6" s="11">
        <v>1.4</v>
      </c>
      <c r="F6" s="9" t="s">
        <v>8</v>
      </c>
      <c r="G6" s="9">
        <v>104786.74969044352</v>
      </c>
      <c r="H6" s="9">
        <v>104735.69568468926</v>
      </c>
      <c r="I6" s="9">
        <v>104669.06973257133</v>
      </c>
      <c r="J6" s="9">
        <v>104580.80925100141</v>
      </c>
      <c r="K6" s="9">
        <v>104461.9110868548</v>
      </c>
      <c r="L6" s="9">
        <v>104298.68268516126</v>
      </c>
      <c r="M6" s="9">
        <v>104069.73174391234</v>
      </c>
      <c r="N6" s="9">
        <v>103740.59722115673</v>
      </c>
      <c r="O6" s="9">
        <v>103253.77822206651</v>
      </c>
      <c r="P6" s="9">
        <v>102509.33114784503</v>
      </c>
      <c r="Q6" s="9">
        <v>101325</v>
      </c>
    </row>
    <row r="7" spans="2:17" x14ac:dyDescent="0.25">
      <c r="B7" s="11" t="s">
        <v>3</v>
      </c>
      <c r="C7" s="11">
        <v>286.97199999999998</v>
      </c>
      <c r="F7" s="9" t="s">
        <v>9</v>
      </c>
      <c r="G7" s="9">
        <v>1.1850000000000001</v>
      </c>
      <c r="H7" s="9">
        <v>1.1850000000000001</v>
      </c>
      <c r="I7" s="9">
        <v>1.1850000000000001</v>
      </c>
      <c r="J7" s="9">
        <v>1.1850000000000001</v>
      </c>
      <c r="K7" s="9">
        <v>1.1850000000000001</v>
      </c>
      <c r="L7" s="9">
        <v>1.1850000000000001</v>
      </c>
      <c r="M7" s="9">
        <v>1.1850000000000001</v>
      </c>
      <c r="N7" s="9">
        <v>1.1850000000000001</v>
      </c>
      <c r="O7" s="9">
        <v>1.1850000000000001</v>
      </c>
      <c r="P7" s="9">
        <v>1.1850000000000001</v>
      </c>
      <c r="Q7" s="9">
        <v>1.1850000000000001</v>
      </c>
    </row>
    <row r="8" spans="2:17" x14ac:dyDescent="0.25">
      <c r="B8" s="11" t="s">
        <v>10</v>
      </c>
      <c r="C8" s="11">
        <v>1004.4</v>
      </c>
    </row>
    <row r="10" spans="2:17" x14ac:dyDescent="0.25">
      <c r="B10" s="22" t="s">
        <v>11</v>
      </c>
      <c r="C10" s="22">
        <v>105000</v>
      </c>
      <c r="F10" s="9" t="s">
        <v>12</v>
      </c>
      <c r="G10" s="10">
        <f>G4*G7*G13</f>
        <v>0.45201084371136407</v>
      </c>
      <c r="H10" s="10">
        <f>H4*H7*H13</f>
        <v>0.45201084248514894</v>
      </c>
      <c r="I10" s="10">
        <f t="shared" ref="I10:Q10" si="3">I4*I7*I13</f>
        <v>0.45201077485286445</v>
      </c>
      <c r="J10" s="10">
        <f t="shared" si="3"/>
        <v>0.45201071834618689</v>
      </c>
      <c r="K10" s="10">
        <f t="shared" si="3"/>
        <v>0.45201067414804225</v>
      </c>
      <c r="L10" s="10">
        <f t="shared" si="3"/>
        <v>0.4520106427333081</v>
      </c>
      <c r="M10" s="10">
        <f t="shared" si="3"/>
        <v>0.45201062359753369</v>
      </c>
      <c r="N10" s="10">
        <f t="shared" si="3"/>
        <v>0.45201061503429235</v>
      </c>
      <c r="O10" s="10">
        <f t="shared" si="3"/>
        <v>0.45201061408601589</v>
      </c>
      <c r="P10" s="10">
        <f t="shared" si="3"/>
        <v>0.45201061686254995</v>
      </c>
      <c r="Q10" s="10">
        <f t="shared" si="3"/>
        <v>0.4520106194487214</v>
      </c>
    </row>
    <row r="11" spans="2:17" x14ac:dyDescent="0.25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1.4216984901631499E-6</v>
      </c>
      <c r="I11" s="12">
        <f t="shared" ref="I11:P11" si="4">(I13)*(I10-J10)</f>
        <v>1.3234737878439652E-6</v>
      </c>
      <c r="J11" s="12">
        <f t="shared" si="4"/>
        <v>1.1605576632098742E-6</v>
      </c>
      <c r="K11" s="12">
        <f t="shared" si="4"/>
        <v>9.3122346000919597E-7</v>
      </c>
      <c r="L11" s="12">
        <f t="shared" si="4"/>
        <v>6.4539259653351337E-7</v>
      </c>
      <c r="M11" s="12">
        <f t="shared" si="4"/>
        <v>3.3154505060561301E-7</v>
      </c>
      <c r="N11" s="12">
        <f t="shared" si="4"/>
        <v>4.2580297571704947E-8</v>
      </c>
      <c r="O11" s="12">
        <f t="shared" si="4"/>
        <v>-1.4631907276177267E-7</v>
      </c>
      <c r="P11" s="12">
        <f t="shared" si="4"/>
        <v>-1.6219309889754392E-7</v>
      </c>
      <c r="Q11" s="13">
        <v>0</v>
      </c>
    </row>
    <row r="12" spans="2:17" x14ac:dyDescent="0.25">
      <c r="B12" s="22" t="s">
        <v>8</v>
      </c>
      <c r="C12" s="22">
        <v>101325</v>
      </c>
    </row>
    <row r="13" spans="2:17" x14ac:dyDescent="0.25">
      <c r="F13" s="9" t="s">
        <v>6</v>
      </c>
      <c r="G13" s="13">
        <f>(H4*H5*H7)/(G4*G7)</f>
        <v>18.971455724631262</v>
      </c>
      <c r="H13" s="14">
        <f t="shared" ref="H13:Q13" si="5">((G6-H6)/H7+G5*H5)^0.5</f>
        <v>21.021003515972847</v>
      </c>
      <c r="I13" s="14">
        <f t="shared" si="5"/>
        <v>23.421546709326705</v>
      </c>
      <c r="J13" s="14">
        <f t="shared" si="5"/>
        <v>26.258062924428092</v>
      </c>
      <c r="K13" s="14">
        <f t="shared" si="5"/>
        <v>29.642888449763046</v>
      </c>
      <c r="L13" s="14">
        <f t="shared" si="5"/>
        <v>33.727017403258657</v>
      </c>
      <c r="M13" s="14">
        <f t="shared" si="5"/>
        <v>38.717237726899626</v>
      </c>
      <c r="N13" s="14">
        <f t="shared" si="5"/>
        <v>44.902831069280374</v>
      </c>
      <c r="O13" s="14">
        <f t="shared" si="5"/>
        <v>52.698461352696171</v>
      </c>
      <c r="P13" s="14">
        <f t="shared" si="5"/>
        <v>62.715524639686627</v>
      </c>
      <c r="Q13" s="14">
        <f t="shared" si="5"/>
        <v>75.885785248200023</v>
      </c>
    </row>
    <row r="14" spans="2:17" x14ac:dyDescent="0.25">
      <c r="B14" s="9" t="s">
        <v>15</v>
      </c>
      <c r="C14" s="9">
        <v>2000</v>
      </c>
      <c r="F14" s="9" t="s">
        <v>8</v>
      </c>
      <c r="G14" s="15">
        <f>C10-(G7*G13^2)/2</f>
        <v>104786.74969160535</v>
      </c>
      <c r="H14" s="9">
        <f>H6+H11</f>
        <v>104735.69568611095</v>
      </c>
      <c r="I14" s="9">
        <f t="shared" ref="I14:Q14" si="6">I6+I11</f>
        <v>104669.06973389479</v>
      </c>
      <c r="J14" s="9">
        <f t="shared" si="6"/>
        <v>104580.80925216197</v>
      </c>
      <c r="K14" s="9">
        <f t="shared" si="6"/>
        <v>104461.91108778602</v>
      </c>
      <c r="L14" s="9">
        <f t="shared" si="6"/>
        <v>104298.68268580665</v>
      </c>
      <c r="M14" s="9">
        <f t="shared" si="6"/>
        <v>104069.73174424389</v>
      </c>
      <c r="N14" s="9">
        <f t="shared" si="6"/>
        <v>103740.59722119931</v>
      </c>
      <c r="O14" s="9">
        <f t="shared" si="6"/>
        <v>103253.77822192019</v>
      </c>
      <c r="P14" s="9">
        <f t="shared" si="6"/>
        <v>102509.33114768284</v>
      </c>
      <c r="Q14" s="13">
        <f t="shared" si="6"/>
        <v>101325</v>
      </c>
    </row>
    <row r="15" spans="2:17" x14ac:dyDescent="0.25">
      <c r="F15" s="9" t="s">
        <v>9</v>
      </c>
      <c r="G15" s="9">
        <v>1.1850000000000001</v>
      </c>
      <c r="H15" s="9">
        <v>1.1850000000000001</v>
      </c>
      <c r="I15" s="9">
        <v>1.1850000000000001</v>
      </c>
      <c r="J15" s="9">
        <v>1.1850000000000001</v>
      </c>
      <c r="K15" s="9">
        <v>1.1850000000000001</v>
      </c>
      <c r="L15" s="9">
        <v>1.1850000000000001</v>
      </c>
      <c r="M15" s="9">
        <v>1.1850000000000001</v>
      </c>
      <c r="N15" s="9">
        <v>1.1850000000000001</v>
      </c>
      <c r="O15" s="9">
        <v>1.1850000000000001</v>
      </c>
      <c r="P15" s="9">
        <v>1.1850000000000001</v>
      </c>
      <c r="Q15" s="9">
        <v>1.1850000000000001</v>
      </c>
    </row>
    <row r="17" spans="6:37" x14ac:dyDescent="0.25">
      <c r="F17" s="9" t="s">
        <v>16</v>
      </c>
      <c r="G17" s="14">
        <f>$C$11-(G13^2)/(2*$C$8)</f>
        <v>287.9808302806095</v>
      </c>
      <c r="H17" s="14">
        <f t="shared" ref="H17:Q17" si="7">$C$11-(H13^2)/(2*$C$8)</f>
        <v>287.94002658860092</v>
      </c>
      <c r="I17" s="14">
        <f t="shared" si="7"/>
        <v>287.88691713945781</v>
      </c>
      <c r="J17" s="14">
        <f t="shared" si="7"/>
        <v>287.81676728965391</v>
      </c>
      <c r="K17" s="14">
        <f t="shared" si="7"/>
        <v>287.72257425545348</v>
      </c>
      <c r="L17" s="14">
        <f t="shared" si="7"/>
        <v>287.59373571140998</v>
      </c>
      <c r="M17" s="14">
        <f t="shared" si="7"/>
        <v>287.41377115830284</v>
      </c>
      <c r="N17" s="14">
        <f t="shared" si="7"/>
        <v>287.15628423036821</v>
      </c>
      <c r="O17" s="14">
        <f t="shared" si="7"/>
        <v>286.77751900192078</v>
      </c>
      <c r="P17" s="14">
        <f t="shared" si="7"/>
        <v>286.20199669910841</v>
      </c>
      <c r="Q17" s="14">
        <f t="shared" si="7"/>
        <v>285.29328733436085</v>
      </c>
    </row>
    <row r="18" spans="6:37" x14ac:dyDescent="0.25">
      <c r="F18" s="9" t="s">
        <v>17</v>
      </c>
      <c r="G18" s="17">
        <f>SQRT($C$6*$C$7*G17)</f>
        <v>340.14615793538206</v>
      </c>
      <c r="H18" s="17">
        <f t="shared" ref="H18:Q18" si="8">SQRT($C$6*$C$7*H17)</f>
        <v>340.12205961133657</v>
      </c>
      <c r="I18" s="17">
        <f t="shared" si="8"/>
        <v>340.09069105090526</v>
      </c>
      <c r="J18" s="17">
        <f t="shared" si="8"/>
        <v>340.04925331443559</v>
      </c>
      <c r="K18" s="17">
        <f t="shared" si="8"/>
        <v>339.99360525005523</v>
      </c>
      <c r="L18" s="17">
        <f t="shared" si="8"/>
        <v>339.91747429987271</v>
      </c>
      <c r="M18" s="17">
        <f t="shared" si="8"/>
        <v>339.81110433824358</v>
      </c>
      <c r="N18" s="17">
        <f t="shared" si="8"/>
        <v>339.65885602677889</v>
      </c>
      <c r="O18" s="17">
        <f t="shared" si="8"/>
        <v>339.43477349297444</v>
      </c>
      <c r="P18" s="17">
        <f t="shared" si="8"/>
        <v>339.09400342004153</v>
      </c>
      <c r="Q18" s="17">
        <f t="shared" si="8"/>
        <v>338.5552530298159</v>
      </c>
    </row>
    <row r="19" spans="6:37" x14ac:dyDescent="0.25">
      <c r="F19" s="9" t="s">
        <v>18</v>
      </c>
      <c r="G19" s="12">
        <f>G13/G18</f>
        <v>5.5774423088545633E-2</v>
      </c>
      <c r="H19" s="12">
        <f t="shared" ref="H19:Q19" si="9">H13/H18</f>
        <v>6.180429325870223E-2</v>
      </c>
      <c r="I19" s="12">
        <f t="shared" si="9"/>
        <v>6.8868532205196217E-2</v>
      </c>
      <c r="J19" s="12">
        <f t="shared" si="9"/>
        <v>7.7218410769888904E-2</v>
      </c>
      <c r="K19" s="12">
        <f t="shared" si="9"/>
        <v>8.7186605842076298E-2</v>
      </c>
      <c r="L19" s="12">
        <f t="shared" si="9"/>
        <v>9.9221193240289052E-2</v>
      </c>
      <c r="M19" s="12">
        <f t="shared" si="9"/>
        <v>0.11393752950568969</v>
      </c>
      <c r="N19" s="12">
        <f t="shared" si="9"/>
        <v>0.13219979480158237</v>
      </c>
      <c r="O19" s="12">
        <f t="shared" si="9"/>
        <v>0.15525357290415301</v>
      </c>
      <c r="P19" s="12">
        <f t="shared" si="9"/>
        <v>0.18495026160046787</v>
      </c>
      <c r="Q19" s="12">
        <f t="shared" si="9"/>
        <v>0.22414593945620129</v>
      </c>
    </row>
    <row r="22" spans="6:37" x14ac:dyDescent="0.25">
      <c r="AF22" s="9"/>
      <c r="AG22" s="9"/>
      <c r="AH22" s="9"/>
      <c r="AI22" s="9"/>
      <c r="AJ22" s="9"/>
      <c r="AK22" s="9"/>
    </row>
    <row r="23" spans="6:37" x14ac:dyDescent="0.25">
      <c r="AF23" s="9"/>
      <c r="AG23" s="9"/>
      <c r="AH23" s="9"/>
      <c r="AI23" s="9"/>
      <c r="AJ23" s="9"/>
      <c r="AK23" s="9"/>
    </row>
    <row r="24" spans="6:37" x14ac:dyDescent="0.25">
      <c r="AF24" s="9"/>
      <c r="AG24" s="9"/>
      <c r="AH24" s="9"/>
      <c r="AI24" s="9"/>
      <c r="AJ24" s="9"/>
      <c r="AK24" s="9"/>
    </row>
    <row r="25" spans="6:37" x14ac:dyDescent="0.25">
      <c r="AF25" s="9"/>
      <c r="AG25" s="9"/>
      <c r="AH25" s="9"/>
      <c r="AI25" s="9"/>
      <c r="AJ25" s="9"/>
      <c r="AK25" s="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FB8E5-3139-46F2-B0BD-F1180BB7B12A}">
  <dimension ref="B1:AI31"/>
  <sheetViews>
    <sheetView zoomScale="70" zoomScaleNormal="70" workbookViewId="0">
      <selection activeCell="V25" sqref="V25"/>
    </sheetView>
  </sheetViews>
  <sheetFormatPr defaultRowHeight="15" x14ac:dyDescent="0.25"/>
  <sheetData>
    <row r="1" spans="2:17" x14ac:dyDescent="0.25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25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25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9" t="s">
        <v>6</v>
      </c>
      <c r="G5" s="9">
        <v>17.965677749011054</v>
      </c>
      <c r="H5" s="9">
        <v>19.913413805299584</v>
      </c>
      <c r="I5" s="9">
        <v>22.200045404994878</v>
      </c>
      <c r="J5" s="9">
        <v>24.90816735873263</v>
      </c>
      <c r="K5" s="9">
        <v>28.148271200498691</v>
      </c>
      <c r="L5" s="9">
        <v>32.070248179569305</v>
      </c>
      <c r="M5" s="9">
        <v>36.882190050039029</v>
      </c>
      <c r="N5" s="9">
        <v>42.881135090875794</v>
      </c>
      <c r="O5" s="9">
        <v>50.505904672857866</v>
      </c>
      <c r="P5" s="9">
        <v>60.433923409349447</v>
      </c>
      <c r="Q5" s="9">
        <v>73.774957760448117</v>
      </c>
    </row>
    <row r="6" spans="2:17" x14ac:dyDescent="0.25">
      <c r="B6" s="11" t="s">
        <v>7</v>
      </c>
      <c r="C6" s="11">
        <v>1.4</v>
      </c>
      <c r="F6" s="9" t="s">
        <v>8</v>
      </c>
      <c r="G6" s="9">
        <v>104795.37046284738</v>
      </c>
      <c r="H6" s="9">
        <v>104746.20531791639</v>
      </c>
      <c r="I6" s="9">
        <v>104681.8857714749</v>
      </c>
      <c r="J6" s="9">
        <v>104596.46859521579</v>
      </c>
      <c r="K6" s="9">
        <v>104481.07197642179</v>
      </c>
      <c r="L6" s="9">
        <v>104322.10705669131</v>
      </c>
      <c r="M6" s="9">
        <v>104098.16192725667</v>
      </c>
      <c r="N6" s="9">
        <v>103774.30941407706</v>
      </c>
      <c r="O6" s="9">
        <v>103291.16099902632</v>
      </c>
      <c r="P6" s="9">
        <v>102542.43320918738</v>
      </c>
      <c r="Q6" s="9">
        <v>101325</v>
      </c>
    </row>
    <row r="7" spans="2:17" x14ac:dyDescent="0.25">
      <c r="B7" s="11" t="s">
        <v>3</v>
      </c>
      <c r="C7" s="11">
        <v>286.97199999999998</v>
      </c>
      <c r="F7" s="9" t="s">
        <v>9</v>
      </c>
      <c r="G7" s="9">
        <v>1.2679762066181028</v>
      </c>
      <c r="H7" s="9">
        <v>1.2675429764889037</v>
      </c>
      <c r="I7" s="9">
        <v>1.2669755575208037</v>
      </c>
      <c r="J7" s="9">
        <v>1.266221046615267</v>
      </c>
      <c r="K7" s="9">
        <v>1.2652002232214405</v>
      </c>
      <c r="L7" s="9">
        <v>1.2637915969220439</v>
      </c>
      <c r="M7" s="9">
        <v>1.2618031955055427</v>
      </c>
      <c r="N7" s="9">
        <v>1.2589207925658019</v>
      </c>
      <c r="O7" s="9">
        <v>1.2546077778956615</v>
      </c>
      <c r="P7" s="9">
        <v>1.2478984257538666</v>
      </c>
      <c r="Q7" s="9">
        <v>1.2369330813723052</v>
      </c>
    </row>
    <row r="8" spans="2:17" x14ac:dyDescent="0.25">
      <c r="B8" s="11" t="s">
        <v>10</v>
      </c>
      <c r="C8" s="11">
        <v>1004.4</v>
      </c>
    </row>
    <row r="10" spans="2:17" x14ac:dyDescent="0.25">
      <c r="B10" s="22" t="s">
        <v>11</v>
      </c>
      <c r="C10" s="22">
        <v>105000</v>
      </c>
      <c r="F10" s="9" t="s">
        <v>12</v>
      </c>
      <c r="G10" s="10">
        <f t="shared" ref="G10:Q10" si="3">G4*G7*G13</f>
        <v>0.45802108266294694</v>
      </c>
      <c r="H10" s="10">
        <f t="shared" si="3"/>
        <v>0.45802205274429714</v>
      </c>
      <c r="I10" s="10">
        <f t="shared" si="3"/>
        <v>0.45807673534866261</v>
      </c>
      <c r="J10" s="10">
        <f t="shared" si="3"/>
        <v>0.45816340495744534</v>
      </c>
      <c r="K10" s="10">
        <f t="shared" si="3"/>
        <v>0.45827075232910464</v>
      </c>
      <c r="L10" s="10">
        <f t="shared" si="3"/>
        <v>0.45838593888599438</v>
      </c>
      <c r="M10" s="10">
        <f t="shared" si="3"/>
        <v>0.45849551753028378</v>
      </c>
      <c r="N10" s="10">
        <f t="shared" si="3"/>
        <v>0.45858704157640262</v>
      </c>
      <c r="O10" s="10">
        <f t="shared" si="3"/>
        <v>0.4586514358057997</v>
      </c>
      <c r="P10" s="10">
        <f t="shared" si="3"/>
        <v>0.45868587055653737</v>
      </c>
      <c r="Q10" s="10">
        <f t="shared" si="3"/>
        <v>0.4586961256338285</v>
      </c>
    </row>
    <row r="11" spans="2:17" x14ac:dyDescent="0.25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13">
        <v>0</v>
      </c>
    </row>
    <row r="12" spans="2:17" x14ac:dyDescent="0.25">
      <c r="B12" s="22" t="s">
        <v>8</v>
      </c>
      <c r="C12" s="22">
        <v>101325</v>
      </c>
    </row>
    <row r="13" spans="2:17" x14ac:dyDescent="0.25">
      <c r="F13" s="9" t="s">
        <v>6</v>
      </c>
      <c r="G13" s="13">
        <f>(H4*H5*H7)/(G4*G7)</f>
        <v>17.96571550535436</v>
      </c>
      <c r="H13" s="14">
        <f t="shared" ref="H13:P13" si="5">((G6-H6)/H7+G5*H5)^0.5</f>
        <v>19.913455981592517</v>
      </c>
      <c r="I13" s="14">
        <f t="shared" si="5"/>
        <v>22.200110360834749</v>
      </c>
      <c r="J13" s="14">
        <f t="shared" si="5"/>
        <v>24.908247456591255</v>
      </c>
      <c r="K13" s="14">
        <f t="shared" si="5"/>
        <v>28.148357627262506</v>
      </c>
      <c r="L13" s="14">
        <f t="shared" si="5"/>
        <v>32.070331583152644</v>
      </c>
      <c r="M13" s="14">
        <f t="shared" si="5"/>
        <v>36.882261654019779</v>
      </c>
      <c r="N13" s="14">
        <f t="shared" si="5"/>
        <v>42.881188334412563</v>
      </c>
      <c r="O13" s="14">
        <f t="shared" si="5"/>
        <v>50.505937196002144</v>
      </c>
      <c r="P13" s="14">
        <f t="shared" si="5"/>
        <v>60.433938702113757</v>
      </c>
      <c r="Q13" s="14">
        <f>((P6-Q6)/Q7+P5*Q5)^0.5</f>
        <v>73.774964942658258</v>
      </c>
    </row>
    <row r="14" spans="2:17" x14ac:dyDescent="0.25">
      <c r="B14" s="9" t="s">
        <v>15</v>
      </c>
      <c r="C14" s="9">
        <v>2000</v>
      </c>
      <c r="F14" s="9" t="s">
        <v>8</v>
      </c>
      <c r="G14" s="15">
        <f>C10-(G7*G13^2)/2</f>
        <v>104795.36960394381</v>
      </c>
      <c r="H14" s="16">
        <f>H6+H11</f>
        <v>104746.20422899675</v>
      </c>
      <c r="I14" s="16">
        <f t="shared" ref="I14:Q14" si="6">I6+I11</f>
        <v>104681.88384740002</v>
      </c>
      <c r="J14" s="16">
        <f t="shared" si="6"/>
        <v>104596.46592138089</v>
      </c>
      <c r="K14" s="16">
        <f t="shared" si="6"/>
        <v>104481.0687341094</v>
      </c>
      <c r="L14" s="16">
        <f t="shared" si="6"/>
        <v>104322.10354246786</v>
      </c>
      <c r="M14" s="16">
        <f t="shared" si="6"/>
        <v>104098.15855164286</v>
      </c>
      <c r="N14" s="16">
        <f t="shared" si="6"/>
        <v>103774.30665277598</v>
      </c>
      <c r="O14" s="16">
        <f t="shared" si="6"/>
        <v>103291.15925986697</v>
      </c>
      <c r="P14" s="16">
        <f t="shared" si="6"/>
        <v>102542.43258943266</v>
      </c>
      <c r="Q14" s="15">
        <f t="shared" si="6"/>
        <v>101325</v>
      </c>
    </row>
    <row r="15" spans="2:17" x14ac:dyDescent="0.25">
      <c r="F15" s="9" t="s">
        <v>9</v>
      </c>
      <c r="G15" s="9">
        <f>G14/($C$7*G17)</f>
        <v>1.2679761991991174</v>
      </c>
      <c r="H15" s="9">
        <f t="shared" ref="H15:Q15" si="7">H14/($C$7*H17)</f>
        <v>1.267542966992526</v>
      </c>
      <c r="I15" s="9">
        <f t="shared" si="7"/>
        <v>1.2669755405513954</v>
      </c>
      <c r="J15" s="9">
        <f t="shared" si="7"/>
        <v>1.2662210229841522</v>
      </c>
      <c r="K15" s="9">
        <f t="shared" si="7"/>
        <v>1.2652001946082072</v>
      </c>
      <c r="L15" s="9">
        <f t="shared" si="7"/>
        <v>1.2637915660498549</v>
      </c>
      <c r="M15" s="9">
        <f t="shared" si="7"/>
        <v>1.2618031661293456</v>
      </c>
      <c r="N15" s="9">
        <f t="shared" si="7"/>
        <v>1.2589207690301487</v>
      </c>
      <c r="O15" s="9">
        <f t="shared" si="7"/>
        <v>1.2546077639231541</v>
      </c>
      <c r="P15" s="9">
        <f t="shared" si="7"/>
        <v>1.2478984222218048</v>
      </c>
      <c r="Q15" s="9">
        <f t="shared" si="7"/>
        <v>1.2369330836583028</v>
      </c>
    </row>
    <row r="17" spans="6:35" x14ac:dyDescent="0.25">
      <c r="F17" s="9" t="s">
        <v>16</v>
      </c>
      <c r="G17" s="14">
        <f>$C$11-(G13^2)/(2*$C$8)</f>
        <v>287.99932350974746</v>
      </c>
      <c r="H17" s="14">
        <f t="shared" ref="H17:Q17" si="8">$C$11-(H13^2)/(2*$C$8)</f>
        <v>287.96259571429175</v>
      </c>
      <c r="I17" s="14">
        <f t="shared" si="8"/>
        <v>287.91465705892415</v>
      </c>
      <c r="J17" s="14">
        <f t="shared" si="8"/>
        <v>287.85114855069759</v>
      </c>
      <c r="K17" s="14">
        <f t="shared" si="8"/>
        <v>287.76557047136987</v>
      </c>
      <c r="L17" s="14">
        <f t="shared" si="8"/>
        <v>287.64799971731713</v>
      </c>
      <c r="M17" s="14">
        <f t="shared" si="8"/>
        <v>287.4828289403049</v>
      </c>
      <c r="N17" s="14">
        <f t="shared" si="8"/>
        <v>287.24462947382949</v>
      </c>
      <c r="O17" s="14">
        <f t="shared" si="8"/>
        <v>286.89016243924408</v>
      </c>
      <c r="P17" s="14">
        <f t="shared" si="8"/>
        <v>286.34186930154777</v>
      </c>
      <c r="Q17" s="14">
        <f t="shared" si="8"/>
        <v>285.45054885887572</v>
      </c>
    </row>
    <row r="18" spans="6:35" x14ac:dyDescent="0.25">
      <c r="F18" s="9" t="s">
        <v>17</v>
      </c>
      <c r="G18" s="17">
        <f>SQRT($C$6*$C$7*G17)</f>
        <v>340.15707932179646</v>
      </c>
      <c r="H18" s="17">
        <f t="shared" ref="H18:Q18" si="9">SQRT($C$6*$C$7*H17)</f>
        <v>340.13538896188152</v>
      </c>
      <c r="I18" s="17">
        <f t="shared" si="9"/>
        <v>340.10707571545612</v>
      </c>
      <c r="J18" s="17">
        <f t="shared" si="9"/>
        <v>340.06956306415765</v>
      </c>
      <c r="K18" s="17">
        <f t="shared" si="9"/>
        <v>340.01900800548481</v>
      </c>
      <c r="L18" s="17">
        <f t="shared" si="9"/>
        <v>339.94954108636341</v>
      </c>
      <c r="M18" s="17">
        <f t="shared" si="9"/>
        <v>339.85192561072836</v>
      </c>
      <c r="N18" s="17">
        <f t="shared" si="9"/>
        <v>339.71110098598382</v>
      </c>
      <c r="O18" s="17">
        <f t="shared" si="9"/>
        <v>339.50143029701752</v>
      </c>
      <c r="P18" s="17">
        <f t="shared" si="9"/>
        <v>339.1768542870891</v>
      </c>
      <c r="Q18" s="17">
        <f t="shared" si="9"/>
        <v>338.64855066865556</v>
      </c>
    </row>
    <row r="19" spans="6:35" x14ac:dyDescent="0.25">
      <c r="F19" s="9" t="s">
        <v>18</v>
      </c>
      <c r="G19" s="12">
        <f>G13/G18</f>
        <v>5.2815938863228475E-2</v>
      </c>
      <c r="H19" s="12">
        <f t="shared" ref="H19:P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>Q13/Q18</f>
        <v>0.21785111673146362</v>
      </c>
    </row>
    <row r="20" spans="6:35" x14ac:dyDescent="0.25">
      <c r="F20" s="9" t="s">
        <v>23</v>
      </c>
      <c r="G20" s="9">
        <f>1-((($C$6-1)/($C$6+1))*G21^2)</f>
        <v>0.9994451906278492</v>
      </c>
      <c r="H20" s="9">
        <f t="shared" ref="H20:Q20" si="11">1-((($C$6-1)/($C$6+1))*H21^2)</f>
        <v>0.99931914815499334</v>
      </c>
      <c r="I20" s="9">
        <f t="shared" si="11"/>
        <v>0.99915506397534504</v>
      </c>
      <c r="J20" s="9">
        <f t="shared" si="11"/>
        <v>0.99893843679612382</v>
      </c>
      <c r="K20" s="9">
        <f t="shared" si="11"/>
        <v>0.99864787310904413</v>
      </c>
      <c r="L20" s="9">
        <f t="shared" si="11"/>
        <v>0.99825117746287018</v>
      </c>
      <c r="M20" s="9">
        <f t="shared" si="11"/>
        <v>0.99769869398315969</v>
      </c>
      <c r="N20" s="9">
        <f t="shared" si="11"/>
        <v>0.99691169398586221</v>
      </c>
      <c r="O20" s="9">
        <f t="shared" si="11"/>
        <v>0.99576140279709935</v>
      </c>
      <c r="P20" s="9">
        <f t="shared" si="11"/>
        <v>0.9940295930298334</v>
      </c>
      <c r="Q20" s="9">
        <f t="shared" si="11"/>
        <v>0.99133102212098823</v>
      </c>
    </row>
    <row r="21" spans="6:35" x14ac:dyDescent="0.25">
      <c r="F21" s="9" t="s">
        <v>24</v>
      </c>
      <c r="G21" s="9">
        <f>SQRT(((($C$6+1)/2)*G19^2)/(1+2*G19^2))</f>
        <v>5.7696241063908013E-2</v>
      </c>
      <c r="H21" s="9">
        <f>SQRT(((($C$6+1)/2)*H19^2)/(1+2*H19^2))</f>
        <v>6.3914873621400858E-2</v>
      </c>
      <c r="I21" s="9">
        <f t="shared" ref="I21:Q21" si="12">SQRT(((($C$6+1)/2)*I19^2)/(1+2*I19^2))</f>
        <v>7.1201236983141639E-2</v>
      </c>
      <c r="J21" s="9">
        <f t="shared" si="12"/>
        <v>7.9808390682038655E-2</v>
      </c>
      <c r="K21" s="9">
        <f t="shared" si="12"/>
        <v>9.007086846331129E-2</v>
      </c>
      <c r="L21" s="9">
        <f t="shared" si="12"/>
        <v>0.10243502927601809</v>
      </c>
      <c r="M21" s="9">
        <f t="shared" si="12"/>
        <v>0.11750674917229943</v>
      </c>
      <c r="N21" s="9">
        <f t="shared" si="12"/>
        <v>0.13612434053036448</v>
      </c>
      <c r="O21" s="9">
        <f t="shared" si="12"/>
        <v>0.15947282908823032</v>
      </c>
      <c r="P21" s="9">
        <f t="shared" si="12"/>
        <v>0.18926817434793303</v>
      </c>
      <c r="Q21" s="9">
        <f t="shared" si="12"/>
        <v>0.22806548900276599</v>
      </c>
    </row>
    <row r="22" spans="6:35" x14ac:dyDescent="0.25">
      <c r="F22" s="9" t="s">
        <v>25</v>
      </c>
      <c r="G22" s="9">
        <f>(1-((($C$6-1)/($C$6+1))*G21^2))^($C$6/($C$6-1))</f>
        <v>0.99805951350771915</v>
      </c>
      <c r="H22" s="9">
        <f t="shared" ref="H22:Q22" si="13">(1-((($C$6-1)/($C$6+1))*H21^2))^($C$6/($C$6-1))</f>
        <v>0.99761904592377981</v>
      </c>
      <c r="I22" s="9">
        <f t="shared" si="13"/>
        <v>0.99704584598069135</v>
      </c>
      <c r="J22" s="9">
        <f t="shared" si="13"/>
        <v>0.99628945642929645</v>
      </c>
      <c r="K22" s="9">
        <f t="shared" si="13"/>
        <v>0.99527554905621063</v>
      </c>
      <c r="L22" s="9">
        <f t="shared" si="13"/>
        <v>0.99389248983628464</v>
      </c>
      <c r="M22" s="9">
        <f t="shared" si="13"/>
        <v>0.99196857232910385</v>
      </c>
      <c r="N22" s="9">
        <f t="shared" si="13"/>
        <v>0.98923259169120825</v>
      </c>
      <c r="O22" s="9">
        <f t="shared" si="13"/>
        <v>0.98524334326618301</v>
      </c>
      <c r="P22" s="9">
        <f t="shared" si="13"/>
        <v>0.97925906060631596</v>
      </c>
      <c r="Q22" s="9">
        <f t="shared" si="13"/>
        <v>0.96998594024949014</v>
      </c>
    </row>
    <row r="23" spans="6:35" x14ac:dyDescent="0.25">
      <c r="F23" s="9" t="s">
        <v>11</v>
      </c>
      <c r="G23" s="9">
        <f>G14/G22</f>
        <v>104999.11897601816</v>
      </c>
      <c r="H23" s="9">
        <f t="shared" ref="H23:Q23" si="14">H14/H22</f>
        <v>104996.19534829889</v>
      </c>
      <c r="I23" s="9">
        <f t="shared" si="14"/>
        <v>104992.04652363325</v>
      </c>
      <c r="J23" s="9">
        <f t="shared" si="14"/>
        <v>104986.02112708775</v>
      </c>
      <c r="K23" s="9">
        <f t="shared" si="14"/>
        <v>104977.02755099892</v>
      </c>
      <c r="L23" s="9">
        <f t="shared" si="14"/>
        <v>104963.16715266854</v>
      </c>
      <c r="M23" s="9">
        <f t="shared" si="14"/>
        <v>104940.9844781921</v>
      </c>
      <c r="N23" s="9">
        <f t="shared" si="14"/>
        <v>104903.84923060585</v>
      </c>
      <c r="O23" s="9">
        <f t="shared" si="14"/>
        <v>104838.22089824647</v>
      </c>
      <c r="P23" s="9">
        <f t="shared" si="14"/>
        <v>104714.30565671019</v>
      </c>
      <c r="Q23" s="9">
        <f t="shared" si="14"/>
        <v>104460.27699529148</v>
      </c>
    </row>
    <row r="28" spans="6:35" x14ac:dyDescent="0.25">
      <c r="AD28" s="9"/>
      <c r="AE28" s="9">
        <v>0</v>
      </c>
      <c r="AF28" s="9">
        <v>2.5000000000000001E-2</v>
      </c>
      <c r="AG28" s="9">
        <v>0.05</v>
      </c>
      <c r="AH28" s="9">
        <v>7.4999999999999997E-2</v>
      </c>
      <c r="AI28" s="9">
        <v>0.1</v>
      </c>
    </row>
    <row r="29" spans="6:35" x14ac:dyDescent="0.25">
      <c r="AD29" s="9" t="s">
        <v>20</v>
      </c>
      <c r="AE29" s="9"/>
      <c r="AF29" s="9"/>
      <c r="AG29" s="9"/>
      <c r="AH29" s="9"/>
      <c r="AI29" s="9"/>
    </row>
    <row r="30" spans="6:35" x14ac:dyDescent="0.25">
      <c r="AD30" s="9" t="s">
        <v>21</v>
      </c>
      <c r="AE30" s="9"/>
      <c r="AF30" s="9"/>
      <c r="AG30" s="9"/>
      <c r="AH30" s="9"/>
      <c r="AI30" s="9"/>
    </row>
    <row r="31" spans="6:35" x14ac:dyDescent="0.25">
      <c r="AD31" s="9" t="s">
        <v>22</v>
      </c>
      <c r="AE31" s="9"/>
      <c r="AF31" s="9"/>
      <c r="AG31" s="9"/>
      <c r="AH31" s="9"/>
      <c r="AI31" s="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const_p_135</vt:lpstr>
      <vt:lpstr>var_p_135</vt:lpstr>
      <vt:lpstr>const_p_105</vt:lpstr>
      <vt:lpstr>var_p_105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Бодров</dc:creator>
  <cp:lastModifiedBy>Александр Бодров</cp:lastModifiedBy>
  <dcterms:created xsi:type="dcterms:W3CDTF">2015-06-05T18:19:34Z</dcterms:created>
  <dcterms:modified xsi:type="dcterms:W3CDTF">2021-05-20T21:06:29Z</dcterms:modified>
</cp:coreProperties>
</file>